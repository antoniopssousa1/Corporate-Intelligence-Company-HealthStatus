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álise Detalhada" sheetId="2" state="visible" r:id="rId2"/>
    <sheet xmlns:r="http://schemas.openxmlformats.org/officeDocument/2006/relationships" name="Comparação" sheetId="3" state="visible" r:id="rId3"/>
    <sheet xmlns:r="http://schemas.openxmlformats.org/officeDocument/2006/relationships" name="Tendências" sheetId="4" state="visible" r:id="rId4"/>
    <sheet xmlns:r="http://schemas.openxmlformats.org/officeDocument/2006/relationships" name="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$#,##0"/>
    <numFmt numFmtId="167" formatCode="+0.0;-0.0;0.0"/>
    <numFmt numFmtId="168" formatCode="yyyy-mm-dd h:mm:ss"/>
  </numFmts>
  <fonts count="13">
    <font>
      <name val="Calibri"/>
      <family val="2"/>
      <color theme="1"/>
      <sz val="11"/>
      <scheme val="minor"/>
    </font>
    <font>
      <b val="1"/>
      <color rgb="001E3A5F"/>
      <sz val="20"/>
    </font>
    <font>
      <i val="1"/>
      <color rgb="00666666"/>
      <sz val="12"/>
    </font>
    <font>
      <b val="1"/>
      <color rgb="001E3A5F"/>
      <sz val="16"/>
    </font>
    <font>
      <b val="1"/>
      <color rgb="00FFFFFF"/>
      <sz val="12"/>
    </font>
    <font>
      <b val="1"/>
      <color rgb="00FFFFFF"/>
    </font>
    <font>
      <b val="1"/>
      <color rgb="00000000"/>
    </font>
    <font>
      <b val="1"/>
    </font>
    <font>
      <b val="1"/>
      <color rgb="001E3A5F"/>
      <sz val="14"/>
    </font>
    <font>
      <b val="1"/>
      <color rgb="001E3A5F"/>
      <sz val="12"/>
    </font>
    <font>
      <i val="1"/>
      <color rgb="00666666"/>
      <sz val="9"/>
    </font>
    <font>
      <b val="1"/>
      <color rgb="00008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8EF7D"/>
        <bgColor rgb="0038EF7D"/>
      </patternFill>
    </fill>
    <fill>
      <patternFill patternType="solid">
        <fgColor rgb="00A8E063"/>
        <bgColor rgb="00A8E063"/>
      </patternFill>
    </fill>
    <fill>
      <patternFill patternType="solid">
        <fgColor rgb="00F0F2F6"/>
        <bgColor rgb="00F0F2F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7" fillId="5" borderId="1" pivotButton="0" quotePrefix="0" xfId="0"/>
    <xf numFmtId="0" fontId="8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5" fontId="0" fillId="0" borderId="1" pivotButton="0" quotePrefix="0" xfId="0"/>
    <xf numFmtId="2" fontId="0" fillId="0" borderId="1" pivotButton="0" quotePrefix="0" xfId="0"/>
    <xf numFmtId="0" fontId="6" fillId="4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0" fontId="0" fillId="6" borderId="1" pivotButton="0" quotePrefix="0" xfId="0"/>
    <xf numFmtId="0" fontId="9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166" fontId="0" fillId="0" borderId="1" pivotButton="0" quotePrefix="0" xfId="0"/>
    <xf numFmtId="0" fontId="10" fillId="0" borderId="0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7" fontId="11" fillId="0" borderId="1" applyAlignment="1" pivotButton="0" quotePrefix="0" xfId="0">
      <alignment horizontal="center"/>
    </xf>
    <xf numFmtId="167" fontId="12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0" fontId="4" fillId="2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Health Score por Empresa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'Dashboard'!$D$8:$D$10</f>
            </numRef>
          </cat>
          <val>
            <numRef>
              <f>'Dashboard'!$E$8:$E$10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Health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2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5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22" customWidth="1" min="12" max="12"/>
    <col width="15" customWidth="1" min="13" max="13"/>
  </cols>
  <sheetData>
    <row r="2">
      <c r="B2" s="1" t="inlineStr">
        <is>
          <t>📊 CORPORATE FINANCIAL HEALTH DASHBOARD</t>
        </is>
      </c>
    </row>
    <row r="3">
      <c r="B3" s="2" t="inlineStr">
        <is>
          <t>Sistema de Análise de Saúde Financeira - Top 10 Tech Companies</t>
        </is>
      </c>
    </row>
    <row r="5">
      <c r="B5" s="3" t="inlineStr">
        <is>
          <t>🏆 RANKING POR HEALTH SCORE</t>
        </is>
      </c>
      <c r="L5" s="3" t="inlineStr">
        <is>
          <t>📈 KPIs AGREGADOS (Último Ano)</t>
        </is>
      </c>
    </row>
    <row r="7">
      <c r="B7" s="4" t="inlineStr">
        <is>
          <t>#</t>
        </is>
      </c>
      <c r="C7" s="4" t="inlineStr">
        <is>
          <t>Empresa</t>
        </is>
      </c>
      <c r="D7" s="4" t="inlineStr">
        <is>
          <t>Ticker</t>
        </is>
      </c>
      <c r="E7" s="4" t="inlineStr">
        <is>
          <t>Health Score</t>
        </is>
      </c>
      <c r="F7" s="4" t="inlineStr">
        <is>
          <t>Status</t>
        </is>
      </c>
      <c r="G7" s="4" t="inlineStr">
        <is>
          <t>Net Margin</t>
        </is>
      </c>
      <c r="H7" s="4" t="inlineStr">
        <is>
          <t>ROE</t>
        </is>
      </c>
      <c r="I7" s="4" t="inlineStr">
        <is>
          <t>D/E Ratio</t>
        </is>
      </c>
      <c r="L7" s="5" t="inlineStr">
        <is>
          <t>💰 Receita Total</t>
        </is>
      </c>
      <c r="M7" s="6" t="inlineStr">
        <is>
          <t>$828.38B</t>
        </is>
      </c>
    </row>
    <row r="8">
      <c r="B8" s="7" t="n">
        <v>1</v>
      </c>
      <c r="C8" s="7" t="inlineStr">
        <is>
          <t>NVIDIA Corporation</t>
        </is>
      </c>
      <c r="D8" s="7" t="inlineStr">
        <is>
          <t>NVDA</t>
        </is>
      </c>
      <c r="E8" s="8" t="n">
        <v>100</v>
      </c>
      <c r="F8" s="9" t="inlineStr">
        <is>
          <t>Excellent</t>
        </is>
      </c>
      <c r="G8" s="10" t="n">
        <v>0.5584802715771244</v>
      </c>
      <c r="H8" s="10" t="n">
        <v>0.9187288060811577</v>
      </c>
      <c r="I8" s="11" t="n">
        <v>0.1294641168832806</v>
      </c>
      <c r="L8" s="5" t="inlineStr">
        <is>
          <t>📊 Lucro Líquido Total</t>
        </is>
      </c>
      <c r="M8" s="6" t="inlineStr">
        <is>
          <t>$286.72B</t>
        </is>
      </c>
    </row>
    <row r="9">
      <c r="B9" s="7" t="n">
        <v>2</v>
      </c>
      <c r="C9" s="7" t="inlineStr">
        <is>
          <t>Microsoft Corporation</t>
        </is>
      </c>
      <c r="D9" s="7" t="inlineStr">
        <is>
          <t>MSFT</t>
        </is>
      </c>
      <c r="E9" s="8" t="n">
        <v>88.89</v>
      </c>
      <c r="F9" s="9" t="inlineStr">
        <is>
          <t>Excellent</t>
        </is>
      </c>
      <c r="G9" s="10" t="n">
        <v>0.3614601524896707</v>
      </c>
      <c r="H9" s="10" t="n">
        <v>0.2964722734140952</v>
      </c>
      <c r="I9" s="11" t="n">
        <v>0.1763950634536609</v>
      </c>
      <c r="L9" s="5" t="inlineStr">
        <is>
          <t>🏥 Health Score Médio</t>
        </is>
      </c>
      <c r="M9" s="6" t="inlineStr">
        <is>
          <t>88.9</t>
        </is>
      </c>
    </row>
    <row r="10">
      <c r="B10" s="7" t="n">
        <v>3</v>
      </c>
      <c r="C10" s="7" t="inlineStr">
        <is>
          <t>Apple Inc.</t>
        </is>
      </c>
      <c r="D10" s="7" t="inlineStr">
        <is>
          <t>AAPL</t>
        </is>
      </c>
      <c r="E10" s="8" t="n">
        <v>77.78</v>
      </c>
      <c r="F10" s="12" t="inlineStr">
        <is>
          <t>Good</t>
        </is>
      </c>
      <c r="G10" s="10" t="n">
        <v>0.2691506412181824</v>
      </c>
      <c r="H10" s="10" t="n">
        <v>1.519129833317511</v>
      </c>
      <c r="I10" s="11" t="n">
        <v>1.338030461258866</v>
      </c>
      <c r="L10" s="5" t="inlineStr">
        <is>
          <t>🌟 Empresas Excellent</t>
        </is>
      </c>
      <c r="M10" s="6" t="inlineStr">
        <is>
          <t>2</t>
        </is>
      </c>
    </row>
    <row r="11">
      <c r="L11" s="5" t="inlineStr">
        <is>
          <t>✅ Empresas Good</t>
        </is>
      </c>
      <c r="M11" s="6" t="inlineStr">
        <is>
          <t>1</t>
        </is>
      </c>
    </row>
    <row r="12">
      <c r="L12" s="5" t="inlineStr">
        <is>
          <t>⚠️ Empresas Fair/Concern</t>
        </is>
      </c>
      <c r="M12" s="6" t="inlineStr">
        <is>
          <t>0</t>
        </is>
      </c>
    </row>
  </sheetData>
  <mergeCells count="2">
    <mergeCell ref="B3:K3"/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91"/>
  <sheetViews>
    <sheetView workbookViewId="0">
      <selection activeCell="A1" sqref="A1"/>
    </sheetView>
  </sheetViews>
  <sheetFormatPr baseColWidth="8" defaultRowHeight="15"/>
  <cols>
    <col width="18" customWidth="1" min="2" max="2"/>
    <col width="20" customWidth="1" min="3" max="3"/>
    <col width="18" customWidth="1" min="4" max="4"/>
  </cols>
  <sheetData>
    <row r="2">
      <c r="B2" s="13" t="inlineStr">
        <is>
          <t>📋 ANÁLISE DETALHADA POR EMPRESA</t>
        </is>
      </c>
    </row>
    <row r="4">
      <c r="B4" s="14" t="inlineStr">
        <is>
          <t>Selecione a Empresa:</t>
        </is>
      </c>
      <c r="C4" s="15" t="inlineStr">
        <is>
          <t>AAPL</t>
        </is>
      </c>
    </row>
    <row r="6">
      <c r="B6" t="inlineStr">
        <is>
          <t>🏢 Empresa:</t>
        </is>
      </c>
      <c r="C6">
        <f>VLOOKUP($C$4,$B$52:$Q$92,2,FALSE)</f>
        <v/>
      </c>
    </row>
    <row r="8">
      <c r="B8" s="16" t="inlineStr">
        <is>
          <t>💰 MÉTRICAS PRINCIPAIS</t>
        </is>
      </c>
    </row>
    <row r="9">
      <c r="B9" s="14" t="inlineStr">
        <is>
          <t>Health Score</t>
        </is>
      </c>
      <c r="C9" s="17">
        <f>VLOOKUP($C$4,$B$52:$Q$92,7,FALSE)</f>
        <v/>
      </c>
    </row>
    <row r="10">
      <c r="B10" s="14" t="inlineStr">
        <is>
          <t>Status</t>
        </is>
      </c>
      <c r="C10" s="18">
        <f>VLOOKUP($C$4,$B$52:$Q$92,8,FALSE)</f>
        <v/>
      </c>
    </row>
    <row r="11">
      <c r="B11" s="14" t="inlineStr">
        <is>
          <t>Revenue</t>
        </is>
      </c>
      <c r="C11" s="19">
        <f>VLOOKUP($C$4,$B$52:$Q$92,5,FALSE)</f>
        <v/>
      </c>
    </row>
    <row r="12">
      <c r="B12" s="14" t="inlineStr">
        <is>
          <t>Net Income</t>
        </is>
      </c>
      <c r="C12" s="19">
        <f>VLOOKUP($C$4,$B$52:$Q$92,6,FALSE)</f>
        <v/>
      </c>
    </row>
    <row r="14">
      <c r="B14" s="16" t="inlineStr">
        <is>
          <t>💧 LIQUIDEZ</t>
        </is>
      </c>
    </row>
    <row r="15">
      <c r="B15" s="14" t="inlineStr">
        <is>
          <t>Current Ratio</t>
        </is>
      </c>
      <c r="C15" s="11">
        <f>VLOOKUP($C$4,$B$52:$Q$92,9,FALSE)</f>
        <v/>
      </c>
      <c r="D15" s="20" t="inlineStr">
        <is>
          <t>Benchmark: ≥1.5</t>
        </is>
      </c>
    </row>
    <row r="16">
      <c r="B16" s="14" t="inlineStr">
        <is>
          <t>Quick Ratio</t>
        </is>
      </c>
      <c r="C16" s="11">
        <f>VLOOKUP($C$4,$B$52:$Q$92,10,FALSE)</f>
        <v/>
      </c>
      <c r="D16" s="20" t="inlineStr">
        <is>
          <t>Benchmark: ≥1.0</t>
        </is>
      </c>
    </row>
    <row r="18">
      <c r="B18" s="16" t="inlineStr">
        <is>
          <t>💰 RENTABILIDADE</t>
        </is>
      </c>
    </row>
    <row r="19">
      <c r="B19" s="14" t="inlineStr">
        <is>
          <t>Gross Margin</t>
        </is>
      </c>
      <c r="C19" s="10">
        <f>VLOOKUP($C$4,$B$52:$Q$92,11,FALSE)</f>
        <v/>
      </c>
      <c r="D19" s="20" t="inlineStr">
        <is>
          <t>Benchmark: ≥30%</t>
        </is>
      </c>
    </row>
    <row r="20">
      <c r="B20" s="14" t="inlineStr">
        <is>
          <t>Net Margin</t>
        </is>
      </c>
      <c r="C20" s="10">
        <f>VLOOKUP($C$4,$B$52:$Q$92,12,FALSE)</f>
        <v/>
      </c>
      <c r="D20" s="20" t="inlineStr">
        <is>
          <t>Benchmark: ≥10%</t>
        </is>
      </c>
    </row>
    <row r="21">
      <c r="B21" s="14" t="inlineStr">
        <is>
          <t>ROE</t>
        </is>
      </c>
      <c r="C21" s="10">
        <f>VLOOKUP($C$4,$B$52:$Q$92,13,FALSE)</f>
        <v/>
      </c>
      <c r="D21" s="20" t="inlineStr">
        <is>
          <t>Benchmark: ≥15%</t>
        </is>
      </c>
    </row>
    <row r="22">
      <c r="B22" s="14" t="inlineStr">
        <is>
          <t>ROA</t>
        </is>
      </c>
      <c r="C22" s="10">
        <f>VLOOKUP($C$4,$B$52:$Q$92,14,FALSE)</f>
        <v/>
      </c>
      <c r="D22" s="20" t="inlineStr">
        <is>
          <t>Benchmark: ≥5%</t>
        </is>
      </c>
    </row>
    <row r="24">
      <c r="B24" s="16" t="inlineStr">
        <is>
          <t>⚖️ ALAVANCAGEM</t>
        </is>
      </c>
    </row>
    <row r="25">
      <c r="B25" s="14" t="inlineStr">
        <is>
          <t>Debt-to-Equity</t>
        </is>
      </c>
      <c r="C25" s="11">
        <f>VLOOKUP($C$4,$B$52:$Q$92,15,FALSE)</f>
        <v/>
      </c>
      <c r="D25" s="20" t="inlineStr">
        <is>
          <t>Benchmark: ≤1.0</t>
        </is>
      </c>
    </row>
    <row r="26">
      <c r="B26" s="14" t="inlineStr">
        <is>
          <t>Debt-to-Assets</t>
        </is>
      </c>
      <c r="C26" s="10">
        <f>VLOOKUP($C$4,$B$52:$Q$92,16,FALSE)</f>
        <v/>
      </c>
      <c r="D26" s="20" t="inlineStr">
        <is>
          <t>Benchmark: ≤50%</t>
        </is>
      </c>
    </row>
    <row r="50">
      <c r="B50" t="inlineStr">
        <is>
          <t>DATA_TABLE</t>
        </is>
      </c>
    </row>
    <row r="51">
      <c r="B51" t="inlineStr">
        <is>
          <t>Ticker</t>
        </is>
      </c>
      <c r="C51" t="inlineStr">
        <is>
          <t>Company</t>
        </is>
      </c>
      <c r="D51" t="inlineStr">
        <is>
          <t>Year</t>
        </is>
      </c>
      <c r="E51" t="inlineStr">
        <is>
          <t>Revenue</t>
        </is>
      </c>
      <c r="F51" t="inlineStr">
        <is>
          <t>Net Income</t>
        </is>
      </c>
      <c r="G51" t="inlineStr">
        <is>
          <t>Health Score</t>
        </is>
      </c>
      <c r="H51" t="inlineStr">
        <is>
          <t>Status</t>
        </is>
      </c>
      <c r="I51" t="inlineStr">
        <is>
          <t>Current Ratio</t>
        </is>
      </c>
      <c r="J51" t="inlineStr">
        <is>
          <t>Quick Ratio</t>
        </is>
      </c>
      <c r="K51" t="inlineStr">
        <is>
          <t>Gross Margin</t>
        </is>
      </c>
      <c r="L51" t="inlineStr">
        <is>
          <t>Net Margin</t>
        </is>
      </c>
      <c r="M51" t="inlineStr">
        <is>
          <t>ROE</t>
        </is>
      </c>
      <c r="N51" t="inlineStr">
        <is>
          <t>ROA</t>
        </is>
      </c>
      <c r="O51" t="inlineStr">
        <is>
          <t>D/E</t>
        </is>
      </c>
      <c r="P51" t="inlineStr">
        <is>
          <t>D/A</t>
        </is>
      </c>
      <c r="Q51" t="inlineStr">
        <is>
          <t>FCF Margin</t>
        </is>
      </c>
    </row>
    <row r="52">
      <c r="B52" t="inlineStr">
        <is>
          <t>AAPL</t>
        </is>
      </c>
      <c r="C52" t="inlineStr">
        <is>
          <t>Apple Inc.</t>
        </is>
      </c>
      <c r="D52" t="n">
        <v>2025</v>
      </c>
      <c r="E52" t="n">
        <v>416161000000</v>
      </c>
      <c r="F52" t="n">
        <v>112010000000</v>
      </c>
      <c r="G52" t="n">
        <v>77.78</v>
      </c>
      <c r="H52" t="inlineStr">
        <is>
          <t>Good</t>
        </is>
      </c>
      <c r="I52" t="n">
        <v>0.8932929222186667</v>
      </c>
      <c r="J52" t="n">
        <v>0.8932929222186667</v>
      </c>
      <c r="K52" t="n">
        <v>0.4690516410716045</v>
      </c>
      <c r="L52" t="n">
        <v>0.2691506412181824</v>
      </c>
      <c r="M52" t="n">
        <v>1.519129833317511</v>
      </c>
      <c r="N52" t="n">
        <v>0.3117962593356549</v>
      </c>
      <c r="O52" t="n">
        <v>1.338030461258866</v>
      </c>
      <c r="P52" t="n">
        <v>0.2746262258483859</v>
      </c>
      <c r="Q52" t="n">
        <v>0.2373288222586931</v>
      </c>
    </row>
    <row r="53">
      <c r="B53" t="inlineStr">
        <is>
          <t>AAPL</t>
        </is>
      </c>
      <c r="C53" t="inlineStr">
        <is>
          <t>Apple Inc.</t>
        </is>
      </c>
      <c r="D53" t="n">
        <v>2024</v>
      </c>
      <c r="E53" t="n">
        <v>391035000000</v>
      </c>
      <c r="F53" t="n">
        <v>93736000000</v>
      </c>
      <c r="G53" t="n">
        <v>77.78</v>
      </c>
      <c r="H53" t="inlineStr">
        <is>
          <t>Good</t>
        </is>
      </c>
      <c r="I53" t="n">
        <v>0.8673125765340832</v>
      </c>
      <c r="J53" t="n">
        <v>0.8673125765340832</v>
      </c>
      <c r="K53" t="n">
        <v>0.4620634981523393</v>
      </c>
      <c r="L53" t="n">
        <v>0.2397125576994387</v>
      </c>
      <c r="M53" t="n">
        <v>1.64593503072871</v>
      </c>
      <c r="N53" t="n">
        <v>0.2568250315085758</v>
      </c>
      <c r="O53" t="n">
        <v>1.872326602282704</v>
      </c>
      <c r="P53" t="n">
        <v>0.2921502548084827</v>
      </c>
      <c r="Q53" t="n">
        <v>0.2782538647435652</v>
      </c>
    </row>
    <row r="54">
      <c r="B54" t="inlineStr">
        <is>
          <t>AAPL</t>
        </is>
      </c>
      <c r="C54" t="inlineStr">
        <is>
          <t>Apple Inc.</t>
        </is>
      </c>
      <c r="D54" t="n">
        <v>2023</v>
      </c>
      <c r="E54" t="n">
        <v>383285000000</v>
      </c>
      <c r="F54" t="n">
        <v>96995000000</v>
      </c>
      <c r="G54" t="n">
        <v>74.44</v>
      </c>
      <c r="H54" t="inlineStr">
        <is>
          <t>Good</t>
        </is>
      </c>
      <c r="I54" t="n">
        <v>0.9880116717592975</v>
      </c>
      <c r="J54" t="n">
        <v>0.9880116717592975</v>
      </c>
      <c r="K54" t="n">
        <v>0.4413112957720756</v>
      </c>
      <c r="L54" t="n">
        <v>0.2530623426432028</v>
      </c>
      <c r="M54" t="n">
        <v>1.560760145463908</v>
      </c>
      <c r="N54" t="n">
        <v>0.2750983456377648</v>
      </c>
      <c r="O54" t="n">
        <v>1.787532584558942</v>
      </c>
      <c r="P54" t="n">
        <v>0.3150690759338936</v>
      </c>
      <c r="Q54" t="n">
        <v>0.2598171073744081</v>
      </c>
    </row>
    <row r="55">
      <c r="B55" t="inlineStr">
        <is>
          <t>AAPL</t>
        </is>
      </c>
      <c r="C55" t="inlineStr">
        <is>
          <t>Apple Inc.</t>
        </is>
      </c>
      <c r="D55" t="n">
        <v>2022</v>
      </c>
      <c r="E55" t="n">
        <v>394328000000</v>
      </c>
      <c r="F55" t="n">
        <v>99803000000</v>
      </c>
      <c r="G55" t="n">
        <v>70</v>
      </c>
      <c r="H55" t="inlineStr">
        <is>
          <t>Good</t>
        </is>
      </c>
      <c r="I55" t="n">
        <v>0.8793560286267226</v>
      </c>
      <c r="J55" t="n">
        <v>0.8793560286267226</v>
      </c>
      <c r="K55" t="n">
        <v>0.4330963056136009</v>
      </c>
      <c r="L55" t="n">
        <v>0.2530964070519973</v>
      </c>
      <c r="M55" t="n">
        <v>1.969588727502368</v>
      </c>
      <c r="N55" t="n">
        <v>0.2829244092925685</v>
      </c>
      <c r="O55" t="n">
        <v>2.614461635617304</v>
      </c>
      <c r="P55" t="n">
        <v>0.3755581069013905</v>
      </c>
      <c r="Q55" t="n">
        <v>0.2826149804223895</v>
      </c>
    </row>
    <row r="56">
      <c r="B56" t="inlineStr">
        <is>
          <t>AMZN</t>
        </is>
      </c>
      <c r="C56" t="inlineStr">
        <is>
          <t>Amazon.com Inc.</t>
        </is>
      </c>
      <c r="D56" t="n">
        <v>2024</v>
      </c>
      <c r="E56" t="n">
        <v>637959000000</v>
      </c>
      <c r="F56" t="n">
        <v>59248000000</v>
      </c>
      <c r="G56" t="n">
        <v>74.44</v>
      </c>
      <c r="H56" t="inlineStr">
        <is>
          <t>Good</t>
        </is>
      </c>
      <c r="I56" t="n">
        <v>1.063734806137178</v>
      </c>
      <c r="J56" t="n">
        <v>1.063734806137178</v>
      </c>
      <c r="K56" t="n">
        <v>0.4885439346415679</v>
      </c>
      <c r="L56" t="n">
        <v>0.09287117197186653</v>
      </c>
      <c r="M56" t="n">
        <v>0.2071825715984194</v>
      </c>
      <c r="N56" t="n">
        <v>0.09481288026449286</v>
      </c>
      <c r="O56" t="n">
        <v>0.4577403224114417</v>
      </c>
      <c r="P56" t="n">
        <v>0.2094755270493876</v>
      </c>
      <c r="Q56" t="n">
        <v>0.05153622724971354</v>
      </c>
    </row>
    <row r="57">
      <c r="B57" t="inlineStr">
        <is>
          <t>AMZN</t>
        </is>
      </c>
      <c r="C57" t="inlineStr">
        <is>
          <t>Amazon.com Inc.</t>
        </is>
      </c>
      <c r="D57" t="n">
        <v>2023</v>
      </c>
      <c r="E57" t="n">
        <v>574785000000</v>
      </c>
      <c r="F57" t="n">
        <v>30425000000</v>
      </c>
      <c r="G57" t="n">
        <v>67.78</v>
      </c>
      <c r="H57" t="inlineStr">
        <is>
          <t>Good</t>
        </is>
      </c>
      <c r="I57" t="n">
        <v>1.045077220662515</v>
      </c>
      <c r="J57" t="n">
        <v>1.045077220662515</v>
      </c>
      <c r="K57" t="n">
        <v>0.4698208895500057</v>
      </c>
      <c r="L57" t="n">
        <v>0.05293283575597832</v>
      </c>
      <c r="M57" t="n">
        <v>0.1507120743034056</v>
      </c>
      <c r="N57" t="n">
        <v>0.05763904412962675</v>
      </c>
      <c r="O57" t="n">
        <v>0.6717572755417957</v>
      </c>
      <c r="P57" t="n">
        <v>0.2569100546742091</v>
      </c>
      <c r="Q57" t="n">
        <v>0.0560505232391242</v>
      </c>
    </row>
    <row r="58">
      <c r="B58" t="inlineStr">
        <is>
          <t>AMZN</t>
        </is>
      </c>
      <c r="C58" t="inlineStr">
        <is>
          <t>Amazon.com Inc.</t>
        </is>
      </c>
      <c r="D58" t="n">
        <v>2022</v>
      </c>
      <c r="E58" t="n">
        <v>513983000000</v>
      </c>
      <c r="F58" t="n">
        <v>-2722000000</v>
      </c>
      <c r="G58" t="n">
        <v>28.89</v>
      </c>
      <c r="H58" t="inlineStr">
        <is>
          <t>Poor</t>
        </is>
      </c>
      <c r="I58" t="n">
        <v>0.9446435811136924</v>
      </c>
      <c r="J58" t="n">
        <v>0.9446435811136924</v>
      </c>
      <c r="K58" t="n">
        <v>0.4380533986532629</v>
      </c>
      <c r="L58" t="n">
        <v>-0.005295895000418302</v>
      </c>
      <c r="M58" t="n">
        <v>-0.01863834624049081</v>
      </c>
      <c r="N58" t="n">
        <v>-0.005883179337547955</v>
      </c>
      <c r="O58" t="n">
        <v>0.9594297569893798</v>
      </c>
      <c r="P58" t="n">
        <v>0.3028432485005674</v>
      </c>
      <c r="Q58" t="n">
        <v>-0.03286684579061953</v>
      </c>
    </row>
    <row r="59">
      <c r="B59" t="inlineStr">
        <is>
          <t>AMZN</t>
        </is>
      </c>
      <c r="C59" t="inlineStr">
        <is>
          <t>Amazon.com Inc.</t>
        </is>
      </c>
      <c r="D59" t="n">
        <v>2021</v>
      </c>
      <c r="E59" t="n">
        <v>469822000000</v>
      </c>
      <c r="F59" t="n">
        <v>33364000000</v>
      </c>
      <c r="G59" t="n">
        <v>61.11</v>
      </c>
      <c r="H59" t="inlineStr">
        <is>
          <t>Fair</t>
        </is>
      </c>
      <c r="I59" t="n">
        <v>1.135759773944583</v>
      </c>
      <c r="J59" t="n">
        <v>1.135759773944583</v>
      </c>
      <c r="K59" t="n">
        <v>0.420325144416396</v>
      </c>
      <c r="L59" t="n">
        <v>0.07101412875514557</v>
      </c>
      <c r="M59" t="n">
        <v>0.2413396506202756</v>
      </c>
      <c r="N59" t="n">
        <v>0.07933439385184604</v>
      </c>
      <c r="O59" t="n">
        <v>0.8419472675322797</v>
      </c>
      <c r="P59" t="n">
        <v>0.2767691755300809</v>
      </c>
      <c r="Q59" t="n">
        <v>-0.03134378551877094</v>
      </c>
    </row>
    <row r="60">
      <c r="B60" t="inlineStr">
        <is>
          <t>ASML</t>
        </is>
      </c>
      <c r="C60" t="inlineStr">
        <is>
          <t>ASML Holding N.V.</t>
        </is>
      </c>
      <c r="D60" t="n">
        <v>2024</v>
      </c>
      <c r="E60" t="n">
        <v>28262900000</v>
      </c>
      <c r="F60" t="n">
        <v>7571600000</v>
      </c>
      <c r="G60" t="n">
        <v>92.22</v>
      </c>
      <c r="H60" t="inlineStr">
        <is>
          <t>Excellent</t>
        </is>
      </c>
      <c r="I60" t="n">
        <v>1.532930368951794</v>
      </c>
      <c r="J60" t="n">
        <v>1.532930368951794</v>
      </c>
      <c r="K60" t="n">
        <v>0.5127570065350689</v>
      </c>
      <c r="L60" t="n">
        <v>0.2678989063401137</v>
      </c>
      <c r="M60" t="n">
        <v>0.4097895739521995</v>
      </c>
      <c r="N60" t="n">
        <v>0.1558275845036798</v>
      </c>
      <c r="O60" t="n">
        <v>0.1990225580187045</v>
      </c>
      <c r="P60" t="n">
        <v>0.07568080412269292</v>
      </c>
      <c r="Q60" t="n">
        <v>0.3213789101613777</v>
      </c>
    </row>
    <row r="61">
      <c r="B61" t="inlineStr">
        <is>
          <t>ASML</t>
        </is>
      </c>
      <c r="C61" t="inlineStr">
        <is>
          <t>ASML Holding N.V.</t>
        </is>
      </c>
      <c r="D61" t="n">
        <v>2023</v>
      </c>
      <c r="E61" t="n">
        <v>27558500000</v>
      </c>
      <c r="F61" t="n">
        <v>7839000000</v>
      </c>
      <c r="G61" t="n">
        <v>80</v>
      </c>
      <c r="H61" t="inlineStr">
        <is>
          <t>Excellent</t>
        </is>
      </c>
      <c r="I61" t="n">
        <v>1.498884772069531</v>
      </c>
      <c r="J61" t="n">
        <v>1.498884772069531</v>
      </c>
      <c r="K61" t="n">
        <v>0.5129488179690477</v>
      </c>
      <c r="L61" t="n">
        <v>0.2844494439102274</v>
      </c>
      <c r="M61" t="n">
        <v>0.5827212988017008</v>
      </c>
      <c r="N61" t="n">
        <v>0.1961834449102171</v>
      </c>
      <c r="O61" t="n">
        <v>0.3442954417055692</v>
      </c>
      <c r="P61" t="n">
        <v>0.1159131577300882</v>
      </c>
      <c r="Q61" t="n">
        <v>0.1178293448482319</v>
      </c>
    </row>
    <row r="62">
      <c r="B62" t="inlineStr">
        <is>
          <t>ASML</t>
        </is>
      </c>
      <c r="C62" t="inlineStr">
        <is>
          <t>ASML Holding N.V.</t>
        </is>
      </c>
      <c r="D62" t="n">
        <v>2022</v>
      </c>
      <c r="E62" t="n">
        <v>21173400000</v>
      </c>
      <c r="F62" t="n">
        <v>5624200000</v>
      </c>
      <c r="G62" t="n">
        <v>83.33</v>
      </c>
      <c r="H62" t="inlineStr">
        <is>
          <t>Excellent</t>
        </is>
      </c>
      <c r="I62" t="n">
        <v>1.282551880602327</v>
      </c>
      <c r="J62" t="n">
        <v>1.282551880602327</v>
      </c>
      <c r="K62" t="n">
        <v>0.5053557765876052</v>
      </c>
      <c r="L62" t="n">
        <v>0.2656257379542256</v>
      </c>
      <c r="M62" t="n">
        <v>0.6383302310800382</v>
      </c>
      <c r="N62" t="n">
        <v>0.154934931846481</v>
      </c>
      <c r="O62" t="n">
        <v>0.4835429245925455</v>
      </c>
      <c r="P62" t="n">
        <v>0.1173650979052572</v>
      </c>
      <c r="Q62" t="n">
        <v>0.33851436236032</v>
      </c>
    </row>
    <row r="63">
      <c r="B63" t="inlineStr">
        <is>
          <t>ASML</t>
        </is>
      </c>
      <c r="C63" t="inlineStr">
        <is>
          <t>ASML Holding N.V.</t>
        </is>
      </c>
      <c r="D63" t="n">
        <v>2021</v>
      </c>
      <c r="E63" t="n">
        <v>18611000000</v>
      </c>
      <c r="F63" t="n">
        <v>5883200000</v>
      </c>
      <c r="G63" t="n">
        <v>88.89</v>
      </c>
      <c r="H63" t="inlineStr">
        <is>
          <t>Excellent</t>
        </is>
      </c>
      <c r="I63" t="n">
        <v>1.479118555862742</v>
      </c>
      <c r="J63" t="n">
        <v>1.479118555862742</v>
      </c>
      <c r="K63" t="n">
        <v>0.5270538928590618</v>
      </c>
      <c r="L63" t="n">
        <v>0.3161141260544839</v>
      </c>
      <c r="M63" t="n">
        <v>0.5801629094925349</v>
      </c>
      <c r="N63" t="n">
        <v>0.1946081836525421</v>
      </c>
      <c r="O63" t="n">
        <v>0.4520541190856557</v>
      </c>
      <c r="P63" t="n">
        <v>0.1516357381495816</v>
      </c>
      <c r="Q63" t="n">
        <v>0.5322389984417818</v>
      </c>
    </row>
    <row r="64">
      <c r="B64" t="inlineStr">
        <is>
          <t>AVGO</t>
        </is>
      </c>
      <c r="C64" t="inlineStr">
        <is>
          <t>Broadcom Inc.</t>
        </is>
      </c>
      <c r="D64" t="n">
        <v>2024</v>
      </c>
      <c r="E64" t="n">
        <v>51574000000</v>
      </c>
      <c r="F64" t="n">
        <v>5895000000</v>
      </c>
      <c r="G64" t="n">
        <v>72.22</v>
      </c>
      <c r="H64" t="inlineStr">
        <is>
          <t>Good</t>
        </is>
      </c>
      <c r="I64" t="n">
        <v>1.173564113313769</v>
      </c>
      <c r="J64" t="n">
        <v>1.173564113313769</v>
      </c>
      <c r="K64" t="n">
        <v>0.6303369915073487</v>
      </c>
      <c r="L64" t="n">
        <v>0.1143017799666499</v>
      </c>
      <c r="M64" t="n">
        <v>0.08710363781435622</v>
      </c>
      <c r="N64" t="n">
        <v>0.03558815539255637</v>
      </c>
      <c r="O64" t="n">
        <v>0.998345104760779</v>
      </c>
      <c r="P64" t="n">
        <v>0.4078964049624196</v>
      </c>
      <c r="Q64" t="n">
        <v>0.3764299841005158</v>
      </c>
    </row>
    <row r="65">
      <c r="B65" t="inlineStr">
        <is>
          <t>AVGO</t>
        </is>
      </c>
      <c r="C65" t="inlineStr">
        <is>
          <t>Broadcom Inc.</t>
        </is>
      </c>
      <c r="D65" t="n">
        <v>2023</v>
      </c>
      <c r="E65" t="n">
        <v>35819000000</v>
      </c>
      <c r="F65" t="n">
        <v>14082000000</v>
      </c>
      <c r="G65" t="n">
        <v>85.56</v>
      </c>
      <c r="H65" t="inlineStr">
        <is>
          <t>Excellent</t>
        </is>
      </c>
      <c r="I65" t="n">
        <v>2.815259959486833</v>
      </c>
      <c r="J65" t="n">
        <v>2.815259959486833</v>
      </c>
      <c r="K65" t="n">
        <v>0.6892989754041151</v>
      </c>
      <c r="L65" t="n">
        <v>0.3931433038331612</v>
      </c>
      <c r="M65" t="n">
        <v>0.5870435217608805</v>
      </c>
      <c r="N65" t="n">
        <v>0.1932721208877177</v>
      </c>
      <c r="O65" t="n">
        <v>1.635359346339837</v>
      </c>
      <c r="P65" t="n">
        <v>0.5384087509092655</v>
      </c>
      <c r="Q65" t="n">
        <v>0.492280633183506</v>
      </c>
    </row>
    <row r="66">
      <c r="B66" t="inlineStr">
        <is>
          <t>AVGO</t>
        </is>
      </c>
      <c r="C66" t="inlineStr">
        <is>
          <t>Broadcom Inc.</t>
        </is>
      </c>
      <c r="D66" t="n">
        <v>2022</v>
      </c>
      <c r="E66" t="n">
        <v>33203000000</v>
      </c>
      <c r="F66" t="n">
        <v>11495000000</v>
      </c>
      <c r="G66" t="n">
        <v>85.56</v>
      </c>
      <c r="H66" t="inlineStr">
        <is>
          <t>Excellent</t>
        </is>
      </c>
      <c r="I66" t="n">
        <v>2.623936471922859</v>
      </c>
      <c r="J66" t="n">
        <v>2.623936471922859</v>
      </c>
      <c r="K66" t="n">
        <v>0.6654519169954523</v>
      </c>
      <c r="L66" t="n">
        <v>0.3462036562961178</v>
      </c>
      <c r="M66" t="n">
        <v>0.5061869743273592</v>
      </c>
      <c r="N66" t="n">
        <v>0.1569304700405466</v>
      </c>
      <c r="O66" t="n">
        <v>1.740059007441983</v>
      </c>
      <c r="P66" t="n">
        <v>0.5394612895739191</v>
      </c>
      <c r="Q66" t="n">
        <v>0.4912809083516549</v>
      </c>
    </row>
    <row r="67">
      <c r="B67" t="inlineStr">
        <is>
          <t>AVGO</t>
        </is>
      </c>
      <c r="C67" t="inlineStr">
        <is>
          <t>Broadcom Inc.</t>
        </is>
      </c>
      <c r="D67" t="n">
        <v>2021</v>
      </c>
      <c r="E67" t="n">
        <v>27450000000</v>
      </c>
      <c r="F67" t="n">
        <v>6736000000</v>
      </c>
      <c r="G67" t="n">
        <v>85.56</v>
      </c>
      <c r="H67" t="inlineStr">
        <is>
          <t>Excellent</t>
        </is>
      </c>
      <c r="I67" t="n">
        <v>2.640662314918007</v>
      </c>
      <c r="J67" t="n">
        <v>2.640662314918007</v>
      </c>
      <c r="K67" t="n">
        <v>0.6136247723132969</v>
      </c>
      <c r="L67" t="n">
        <v>0.2453916211293261</v>
      </c>
      <c r="M67" t="n">
        <v>0.2695586057865461</v>
      </c>
      <c r="N67" t="n">
        <v>0.08913590048961229</v>
      </c>
      <c r="O67" t="n">
        <v>1.589899555804554</v>
      </c>
      <c r="P67" t="n">
        <v>0.5257377266110891</v>
      </c>
      <c r="Q67" t="n">
        <v>0.4852823315118397</v>
      </c>
    </row>
    <row r="68">
      <c r="B68" t="inlineStr">
        <is>
          <t>GOOGL</t>
        </is>
      </c>
      <c r="C68" t="inlineStr">
        <is>
          <t>Alphabet Inc.</t>
        </is>
      </c>
      <c r="D68" t="n">
        <v>2024</v>
      </c>
      <c r="E68" t="n">
        <v>350018000000</v>
      </c>
      <c r="F68" t="n">
        <v>100118000000</v>
      </c>
      <c r="G68" t="n">
        <v>97.78</v>
      </c>
      <c r="H68" t="inlineStr">
        <is>
          <t>Excellent</t>
        </is>
      </c>
      <c r="I68" t="n">
        <v>1.836931397410291</v>
      </c>
      <c r="J68" t="n">
        <v>1.836931397410291</v>
      </c>
      <c r="K68" t="n">
        <v>0.5820043540617911</v>
      </c>
      <c r="L68" t="n">
        <v>0.28603671811164</v>
      </c>
      <c r="M68" t="n">
        <v>0.3079757847202569</v>
      </c>
      <c r="N68" t="n">
        <v>0.2223579474787676</v>
      </c>
      <c r="O68" t="n">
        <v>0.07832129541903016</v>
      </c>
      <c r="P68" t="n">
        <v>0.05654783056749938</v>
      </c>
      <c r="Q68" t="n">
        <v>0.2078864515539201</v>
      </c>
    </row>
    <row r="69">
      <c r="B69" t="inlineStr">
        <is>
          <t>GOOGL</t>
        </is>
      </c>
      <c r="C69" t="inlineStr">
        <is>
          <t>Alphabet Inc.</t>
        </is>
      </c>
      <c r="D69" t="n">
        <v>2023</v>
      </c>
      <c r="E69" t="n">
        <v>307394000000</v>
      </c>
      <c r="F69" t="n">
        <v>73795000000</v>
      </c>
      <c r="G69" t="n">
        <v>100</v>
      </c>
      <c r="H69" t="inlineStr">
        <is>
          <t>Excellent</t>
        </is>
      </c>
      <c r="I69" t="n">
        <v>2.096584936563424</v>
      </c>
      <c r="J69" t="n">
        <v>2.096584936563424</v>
      </c>
      <c r="K69" t="n">
        <v>0.566250479840205</v>
      </c>
      <c r="L69" t="n">
        <v>0.2400664944663852</v>
      </c>
      <c r="M69" t="n">
        <v>0.2604109690555758</v>
      </c>
      <c r="N69" t="n">
        <v>0.1833908228791825</v>
      </c>
      <c r="O69" t="n">
        <v>0.09570575095543424</v>
      </c>
      <c r="P69" t="n">
        <v>0.06739945128133761</v>
      </c>
      <c r="Q69" t="n">
        <v>0.2260779325556127</v>
      </c>
    </row>
    <row r="70">
      <c r="B70" t="inlineStr">
        <is>
          <t>GOOGL</t>
        </is>
      </c>
      <c r="C70" t="inlineStr">
        <is>
          <t>Alphabet Inc.</t>
        </is>
      </c>
      <c r="D70" t="n">
        <v>2022</v>
      </c>
      <c r="E70" t="n">
        <v>282836000000</v>
      </c>
      <c r="F70" t="n">
        <v>59972000000</v>
      </c>
      <c r="G70" t="n">
        <v>100</v>
      </c>
      <c r="H70" t="inlineStr">
        <is>
          <t>Excellent</t>
        </is>
      </c>
      <c r="I70" t="n">
        <v>2.377994227994228</v>
      </c>
      <c r="J70" t="n">
        <v>2.377994227994228</v>
      </c>
      <c r="K70" t="n">
        <v>0.5537944250378312</v>
      </c>
      <c r="L70" t="n">
        <v>0.2120380715326196</v>
      </c>
      <c r="M70" t="n">
        <v>0.2341339246673746</v>
      </c>
      <c r="N70" t="n">
        <v>0.1641880940908494</v>
      </c>
      <c r="O70" t="n">
        <v>0.1158684177650072</v>
      </c>
      <c r="P70" t="n">
        <v>0.08125355906960445</v>
      </c>
      <c r="Q70" t="n">
        <v>0.2121724250095462</v>
      </c>
    </row>
    <row r="71">
      <c r="B71" t="inlineStr">
        <is>
          <t>GOOGL</t>
        </is>
      </c>
      <c r="C71" t="inlineStr">
        <is>
          <t>Alphabet Inc.</t>
        </is>
      </c>
      <c r="D71" t="n">
        <v>2021</v>
      </c>
      <c r="E71" t="n">
        <v>257637000000</v>
      </c>
      <c r="F71" t="n">
        <v>76033000000</v>
      </c>
      <c r="G71" t="n">
        <v>100</v>
      </c>
      <c r="H71" t="inlineStr">
        <is>
          <t>Excellent</t>
        </is>
      </c>
      <c r="I71" t="n">
        <v>2.928113424845146</v>
      </c>
      <c r="J71" t="n">
        <v>2.928113424845146</v>
      </c>
      <c r="K71" t="n">
        <v>0.5693980290098084</v>
      </c>
      <c r="L71" t="n">
        <v>0.2951167728237792</v>
      </c>
      <c r="M71" t="n">
        <v>0.30215590041131</v>
      </c>
      <c r="N71" t="n">
        <v>0.2116330984112139</v>
      </c>
      <c r="O71" t="n">
        <v>0.1128420132334532</v>
      </c>
      <c r="P71" t="n">
        <v>0.07903570593540199</v>
      </c>
      <c r="Q71" t="n">
        <v>0.2601023921253547</v>
      </c>
    </row>
    <row r="72">
      <c r="B72" t="inlineStr">
        <is>
          <t>META</t>
        </is>
      </c>
      <c r="C72" t="inlineStr">
        <is>
          <t>Meta Platforms Inc.</t>
        </is>
      </c>
      <c r="D72" t="n">
        <v>2024</v>
      </c>
      <c r="E72" t="n">
        <v>164501000000</v>
      </c>
      <c r="F72" t="n">
        <v>62360000000</v>
      </c>
      <c r="G72" t="n">
        <v>100</v>
      </c>
      <c r="H72" t="inlineStr">
        <is>
          <t>Excellent</t>
        </is>
      </c>
      <c r="I72" t="n">
        <v>2.977884271937135</v>
      </c>
      <c r="J72" t="n">
        <v>2.977884271937135</v>
      </c>
      <c r="K72" t="n">
        <v>0.8166515705071702</v>
      </c>
      <c r="L72" t="n">
        <v>0.3790858414234564</v>
      </c>
      <c r="M72" t="n">
        <v>0.3414423145364849</v>
      </c>
      <c r="N72" t="n">
        <v>0.2258978315836757</v>
      </c>
      <c r="O72" t="n">
        <v>0.2686202686202686</v>
      </c>
      <c r="P72" t="n">
        <v>0.1777188521086454</v>
      </c>
      <c r="Q72" t="n">
        <v>0.3287031689776962</v>
      </c>
    </row>
    <row r="73">
      <c r="B73" t="inlineStr">
        <is>
          <t>META</t>
        </is>
      </c>
      <c r="C73" t="inlineStr">
        <is>
          <t>Meta Platforms Inc.</t>
        </is>
      </c>
      <c r="D73" t="n">
        <v>2023</v>
      </c>
      <c r="E73" t="n">
        <v>134902000000</v>
      </c>
      <c r="F73" t="n">
        <v>39098000000</v>
      </c>
      <c r="G73" t="n">
        <v>100</v>
      </c>
      <c r="H73" t="inlineStr">
        <is>
          <t>Excellent</t>
        </is>
      </c>
      <c r="I73" t="n">
        <v>2.670994993742178</v>
      </c>
      <c r="J73" t="n">
        <v>2.670994993742178</v>
      </c>
      <c r="K73" t="n">
        <v>0.8075714222176098</v>
      </c>
      <c r="L73" t="n">
        <v>0.2898252064461609</v>
      </c>
      <c r="M73" t="n">
        <v>0.2552621957589052</v>
      </c>
      <c r="N73" t="n">
        <v>0.1702703997421861</v>
      </c>
      <c r="O73" t="n">
        <v>0.2430925519690797</v>
      </c>
      <c r="P73" t="n">
        <v>0.1621527460228287</v>
      </c>
      <c r="Q73" t="n">
        <v>0.3266667655038472</v>
      </c>
    </row>
    <row r="74">
      <c r="B74" t="inlineStr">
        <is>
          <t>META</t>
        </is>
      </c>
      <c r="C74" t="inlineStr">
        <is>
          <t>Meta Platforms Inc.</t>
        </is>
      </c>
      <c r="D74" t="n">
        <v>2022</v>
      </c>
      <c r="E74" t="n">
        <v>116609000000</v>
      </c>
      <c r="F74" t="n">
        <v>23200000000</v>
      </c>
      <c r="G74" t="n">
        <v>93.33</v>
      </c>
      <c r="H74" t="inlineStr">
        <is>
          <t>Excellent</t>
        </is>
      </c>
      <c r="I74" t="n">
        <v>2.203396729075705</v>
      </c>
      <c r="J74" t="n">
        <v>2.203396729075705</v>
      </c>
      <c r="K74" t="n">
        <v>0.7834729737841848</v>
      </c>
      <c r="L74" t="n">
        <v>0.1989554837105198</v>
      </c>
      <c r="M74" t="n">
        <v>0.1845473419614519</v>
      </c>
      <c r="N74" t="n">
        <v>0.1249145250825136</v>
      </c>
      <c r="O74" t="n">
        <v>0.2115214814696968</v>
      </c>
      <c r="P74" t="n">
        <v>0.1431725058822896</v>
      </c>
      <c r="Q74" t="n">
        <v>0.1654160485039748</v>
      </c>
    </row>
    <row r="75">
      <c r="B75" t="inlineStr">
        <is>
          <t>META</t>
        </is>
      </c>
      <c r="C75" t="inlineStr">
        <is>
          <t>Meta Platforms Inc.</t>
        </is>
      </c>
      <c r="D75" t="n">
        <v>2021</v>
      </c>
      <c r="E75" t="n">
        <v>117929000000</v>
      </c>
      <c r="F75" t="n">
        <v>39370000000</v>
      </c>
      <c r="G75" t="n">
        <v>100</v>
      </c>
      <c r="H75" t="inlineStr">
        <is>
          <t>Excellent</t>
        </is>
      </c>
      <c r="I75" t="n">
        <v>3.154293825408091</v>
      </c>
      <c r="J75" t="n">
        <v>3.154293825408091</v>
      </c>
      <c r="K75" t="n">
        <v>0.8079437627725157</v>
      </c>
      <c r="L75" t="n">
        <v>0.3338449405998525</v>
      </c>
      <c r="M75" t="n">
        <v>0.3152651766910369</v>
      </c>
      <c r="N75" t="n">
        <v>0.2371872496038847</v>
      </c>
      <c r="O75" t="n">
        <v>0.111091536607436</v>
      </c>
      <c r="P75" t="n">
        <v>0.08357883448703814</v>
      </c>
      <c r="Q75" t="n">
        <v>0.3306481018239789</v>
      </c>
    </row>
    <row r="76">
      <c r="B76" t="inlineStr">
        <is>
          <t>MSFT</t>
        </is>
      </c>
      <c r="C76" t="inlineStr">
        <is>
          <t>Microsoft Corporation</t>
        </is>
      </c>
      <c r="D76" t="n">
        <v>2025</v>
      </c>
      <c r="E76" t="n">
        <v>281724000000</v>
      </c>
      <c r="F76" t="n">
        <v>101832000000</v>
      </c>
      <c r="G76" t="n">
        <v>88.89</v>
      </c>
      <c r="H76" t="inlineStr">
        <is>
          <t>Excellent</t>
        </is>
      </c>
      <c r="I76" t="n">
        <v>1.353446444504242</v>
      </c>
      <c r="J76" t="n">
        <v>1.353446444504242</v>
      </c>
      <c r="K76" t="n">
        <v>0.6882374238616519</v>
      </c>
      <c r="L76" t="n">
        <v>0.3614601524896707</v>
      </c>
      <c r="M76" t="n">
        <v>0.2964722734140952</v>
      </c>
      <c r="N76" t="n">
        <v>0.1645097035070912</v>
      </c>
      <c r="O76" t="n">
        <v>0.1763950634536609</v>
      </c>
      <c r="P76" t="n">
        <v>0.0978799779645656</v>
      </c>
      <c r="Q76" t="n">
        <v>0.2541884965427156</v>
      </c>
    </row>
    <row r="77">
      <c r="B77" t="inlineStr">
        <is>
          <t>MSFT</t>
        </is>
      </c>
      <c r="C77" t="inlineStr">
        <is>
          <t>Microsoft Corporation</t>
        </is>
      </c>
      <c r="D77" t="n">
        <v>2024</v>
      </c>
      <c r="E77" t="n">
        <v>245122000000</v>
      </c>
      <c r="F77" t="n">
        <v>88136000000</v>
      </c>
      <c r="G77" t="n">
        <v>88.89</v>
      </c>
      <c r="H77" t="inlineStr">
        <is>
          <t>Excellent</t>
        </is>
      </c>
      <c r="I77" t="n">
        <v>1.274954903181521</v>
      </c>
      <c r="J77" t="n">
        <v>1.274954903181521</v>
      </c>
      <c r="K77" t="n">
        <v>0.6976444382797138</v>
      </c>
      <c r="L77" t="n">
        <v>0.3595597294408499</v>
      </c>
      <c r="M77" t="n">
        <v>0.3282813797829982</v>
      </c>
      <c r="N77" t="n">
        <v>0.172085839859576</v>
      </c>
      <c r="O77" t="n">
        <v>0.2500288665323286</v>
      </c>
      <c r="P77" t="n">
        <v>0.1310656958819751</v>
      </c>
      <c r="Q77" t="n">
        <v>0.3021801388696241</v>
      </c>
    </row>
    <row r="78">
      <c r="B78" t="inlineStr">
        <is>
          <t>MSFT</t>
        </is>
      </c>
      <c r="C78" t="inlineStr">
        <is>
          <t>Microsoft Corporation</t>
        </is>
      </c>
      <c r="D78" t="n">
        <v>2023</v>
      </c>
      <c r="E78" t="n">
        <v>211915000000</v>
      </c>
      <c r="F78" t="n">
        <v>72361000000</v>
      </c>
      <c r="G78" t="n">
        <v>92.22</v>
      </c>
      <c r="H78" t="inlineStr">
        <is>
          <t>Excellent</t>
        </is>
      </c>
      <c r="I78" t="n">
        <v>1.76916725076573</v>
      </c>
      <c r="J78" t="n">
        <v>1.76916725076573</v>
      </c>
      <c r="K78" t="n">
        <v>0.6892008588349102</v>
      </c>
      <c r="L78" t="n">
        <v>0.3414623787839464</v>
      </c>
      <c r="M78" t="n">
        <v>0.3508871464385641</v>
      </c>
      <c r="N78" t="n">
        <v>0.175643726819038</v>
      </c>
      <c r="O78" t="n">
        <v>0.2907774593522546</v>
      </c>
      <c r="P78" t="n">
        <v>0.145554595413325</v>
      </c>
      <c r="Q78" t="n">
        <v>0.2806549795908737</v>
      </c>
    </row>
    <row r="79">
      <c r="B79" t="inlineStr">
        <is>
          <t>MSFT</t>
        </is>
      </c>
      <c r="C79" t="inlineStr">
        <is>
          <t>Microsoft Corporation</t>
        </is>
      </c>
      <c r="D79" t="n">
        <v>2022</v>
      </c>
      <c r="E79" t="n">
        <v>198270000000</v>
      </c>
      <c r="F79" t="n">
        <v>72738000000</v>
      </c>
      <c r="G79" t="n">
        <v>92.22</v>
      </c>
      <c r="H79" t="inlineStr">
        <is>
          <t>Excellent</t>
        </is>
      </c>
      <c r="I79" t="n">
        <v>1.784606970825182</v>
      </c>
      <c r="J79" t="n">
        <v>1.784606970825182</v>
      </c>
      <c r="K79" t="n">
        <v>0.684016744842891</v>
      </c>
      <c r="L79" t="n">
        <v>0.3668633681343622</v>
      </c>
      <c r="M79" t="n">
        <v>0.4367546925099975</v>
      </c>
      <c r="N79" t="n">
        <v>0.1993695866681285</v>
      </c>
      <c r="O79" t="n">
        <v>0.3678951855988279</v>
      </c>
      <c r="P79" t="n">
        <v>0.1679366297555093</v>
      </c>
      <c r="Q79" t="n">
        <v>0.3285872799717557</v>
      </c>
    </row>
    <row r="80">
      <c r="B80" t="inlineStr">
        <is>
          <t>NFLX</t>
        </is>
      </c>
      <c r="C80" t="inlineStr">
        <is>
          <t>Netflix Inc.</t>
        </is>
      </c>
      <c r="D80" t="n">
        <v>2024</v>
      </c>
      <c r="E80" t="n">
        <v>39000966000</v>
      </c>
      <c r="F80" t="n">
        <v>8711631000</v>
      </c>
      <c r="G80" t="n">
        <v>85.56</v>
      </c>
      <c r="H80" t="inlineStr">
        <is>
          <t>Excellent</t>
        </is>
      </c>
      <c r="I80" t="n">
        <v>1.218028060323187</v>
      </c>
      <c r="J80" t="n">
        <v>1.218028060323187</v>
      </c>
      <c r="K80" t="n">
        <v>0.4605655665041732</v>
      </c>
      <c r="L80" t="n">
        <v>0.2233696211524607</v>
      </c>
      <c r="M80" t="n">
        <v>0.3520766023750739</v>
      </c>
      <c r="N80" t="n">
        <v>0.1624383786695204</v>
      </c>
      <c r="O80" t="n">
        <v>0.6297719322359626</v>
      </c>
      <c r="P80" t="n">
        <v>0.2905593013392</v>
      </c>
      <c r="Q80" t="n">
        <v>0.1774783219472051</v>
      </c>
    </row>
    <row r="81">
      <c r="B81" t="inlineStr">
        <is>
          <t>NFLX</t>
        </is>
      </c>
      <c r="C81" t="inlineStr">
        <is>
          <t>Netflix Inc.</t>
        </is>
      </c>
      <c r="D81" t="n">
        <v>2023</v>
      </c>
      <c r="E81" t="n">
        <v>33723297000</v>
      </c>
      <c r="F81" t="n">
        <v>5407990000</v>
      </c>
      <c r="G81" t="n">
        <v>82.22</v>
      </c>
      <c r="H81" t="inlineStr">
        <is>
          <t>Excellent</t>
        </is>
      </c>
      <c r="I81" t="n">
        <v>1.119345353136986</v>
      </c>
      <c r="J81" t="n">
        <v>1.119345353136986</v>
      </c>
      <c r="K81" t="n">
        <v>0.4153783955346952</v>
      </c>
      <c r="L81" t="n">
        <v>0.1603636204372307</v>
      </c>
      <c r="M81" t="n">
        <v>0.262672808597771</v>
      </c>
      <c r="N81" t="n">
        <v>0.1109741214765036</v>
      </c>
      <c r="O81" t="n">
        <v>0.7063842967609828</v>
      </c>
      <c r="P81" t="n">
        <v>0.2984335423842309</v>
      </c>
      <c r="Q81" t="n">
        <v>0.2053698664160862</v>
      </c>
    </row>
    <row r="82">
      <c r="B82" t="inlineStr">
        <is>
          <t>NFLX</t>
        </is>
      </c>
      <c r="C82" t="inlineStr">
        <is>
          <t>Netflix Inc.</t>
        </is>
      </c>
      <c r="D82" t="n">
        <v>2022</v>
      </c>
      <c r="E82" t="n">
        <v>31615550000</v>
      </c>
      <c r="F82" t="n">
        <v>4491924000</v>
      </c>
      <c r="G82" t="n">
        <v>70</v>
      </c>
      <c r="H82" t="inlineStr">
        <is>
          <t>Good</t>
        </is>
      </c>
      <c r="I82" t="n">
        <v>1.168390288506809</v>
      </c>
      <c r="J82" t="n">
        <v>1.168390288506809</v>
      </c>
      <c r="K82" t="n">
        <v>0.3937070523840325</v>
      </c>
      <c r="L82" t="n">
        <v>0.1420795779292152</v>
      </c>
      <c r="M82" t="n">
        <v>0.2161927759877186</v>
      </c>
      <c r="N82" t="n">
        <v>0.09243637092783322</v>
      </c>
      <c r="O82" t="n">
        <v>0.6908022808049957</v>
      </c>
      <c r="P82" t="n">
        <v>0.2953625789508862</v>
      </c>
      <c r="Q82" t="n">
        <v>0.05119404849828645</v>
      </c>
    </row>
    <row r="83">
      <c r="B83" t="inlineStr">
        <is>
          <t>NFLX</t>
        </is>
      </c>
      <c r="C83" t="inlineStr">
        <is>
          <t>Netflix Inc.</t>
        </is>
      </c>
      <c r="D83" t="n">
        <v>2021</v>
      </c>
      <c r="E83" t="n">
        <v>29697844000</v>
      </c>
      <c r="F83" t="n">
        <v>5116228000</v>
      </c>
      <c r="G83" t="n">
        <v>53.33</v>
      </c>
      <c r="H83" t="inlineStr">
        <is>
          <t>Fair</t>
        </is>
      </c>
      <c r="I83" t="n">
        <v>0.950625199818211</v>
      </c>
      <c r="J83" t="n">
        <v>0.950625199818211</v>
      </c>
      <c r="K83" t="n">
        <v>0.4163656122646479</v>
      </c>
      <c r="L83" t="n">
        <v>0.1722760749904943</v>
      </c>
      <c r="M83" t="n">
        <v>0.3228057255460953</v>
      </c>
      <c r="N83" t="n">
        <v>0.1147530934572725</v>
      </c>
      <c r="O83" t="n">
        <v>0.9712066465235448</v>
      </c>
      <c r="P83" t="n">
        <v>0.345250899395606</v>
      </c>
      <c r="Q83" t="n">
        <v>-0.004443925289660758</v>
      </c>
    </row>
    <row r="84">
      <c r="B84" t="inlineStr">
        <is>
          <t>NVDA</t>
        </is>
      </c>
      <c r="C84" t="inlineStr">
        <is>
          <t>NVIDIA Corporation</t>
        </is>
      </c>
      <c r="D84" t="n">
        <v>2025</v>
      </c>
      <c r="E84" t="n">
        <v>130497000000</v>
      </c>
      <c r="F84" t="n">
        <v>72880000000</v>
      </c>
      <c r="G84" t="n">
        <v>100</v>
      </c>
      <c r="H84" t="inlineStr">
        <is>
          <t>Excellent</t>
        </is>
      </c>
      <c r="I84" t="n">
        <v>4.439851498864077</v>
      </c>
      <c r="J84" t="n">
        <v>4.439851498864077</v>
      </c>
      <c r="K84" t="n">
        <v>0.7498869705816992</v>
      </c>
      <c r="L84" t="n">
        <v>0.5584802715771244</v>
      </c>
      <c r="M84" t="n">
        <v>0.9187288060811577</v>
      </c>
      <c r="N84" t="n">
        <v>0.6530407433625147</v>
      </c>
      <c r="O84" t="n">
        <v>0.1294641168832806</v>
      </c>
      <c r="P84" t="n">
        <v>0.09202426501554646</v>
      </c>
      <c r="Q84" t="n">
        <v>0.4663172333463604</v>
      </c>
    </row>
    <row r="85">
      <c r="B85" t="inlineStr">
        <is>
          <t>NVDA</t>
        </is>
      </c>
      <c r="C85" t="inlineStr">
        <is>
          <t>NVIDIA Corporation</t>
        </is>
      </c>
      <c r="D85" t="n">
        <v>2024</v>
      </c>
      <c r="E85" t="n">
        <v>60922000000</v>
      </c>
      <c r="F85" t="n">
        <v>29760000000</v>
      </c>
      <c r="G85" t="n">
        <v>100</v>
      </c>
      <c r="H85" t="inlineStr">
        <is>
          <t>Excellent</t>
        </is>
      </c>
      <c r="I85" t="n">
        <v>4.171291505973097</v>
      </c>
      <c r="J85" t="n">
        <v>4.171291505973097</v>
      </c>
      <c r="K85" t="n">
        <v>0.7271757329043695</v>
      </c>
      <c r="L85" t="n">
        <v>0.4884934834706674</v>
      </c>
      <c r="M85" t="n">
        <v>0.6924472986178976</v>
      </c>
      <c r="N85" t="n">
        <v>0.4527750730282376</v>
      </c>
      <c r="O85" t="n">
        <v>0.2572478942714878</v>
      </c>
      <c r="P85" t="n">
        <v>0.1682083739045764</v>
      </c>
      <c r="Q85" t="n">
        <v>0.4435343554052723</v>
      </c>
    </row>
    <row r="86">
      <c r="B86" t="inlineStr">
        <is>
          <t>NVDA</t>
        </is>
      </c>
      <c r="C86" t="inlineStr">
        <is>
          <t>NVIDIA Corporation</t>
        </is>
      </c>
      <c r="D86" t="n">
        <v>2023</v>
      </c>
      <c r="E86" t="n">
        <v>26974000000</v>
      </c>
      <c r="F86" t="n">
        <v>4368000000</v>
      </c>
      <c r="G86" t="n">
        <v>81.11</v>
      </c>
      <c r="H86" t="inlineStr">
        <is>
          <t>Excellent</t>
        </is>
      </c>
      <c r="I86" t="n">
        <v>3.515617857687033</v>
      </c>
      <c r="J86" t="n">
        <v>3.515617857687033</v>
      </c>
      <c r="K86" t="n">
        <v>0.5692889449099132</v>
      </c>
      <c r="L86" t="n">
        <v>0.1619337139467636</v>
      </c>
      <c r="M86" t="n">
        <v>0.1976381159223564</v>
      </c>
      <c r="N86" t="n">
        <v>0.1060657568840756</v>
      </c>
      <c r="O86" t="n">
        <v>0.5443645083932853</v>
      </c>
      <c r="P86" t="n">
        <v>0.2921421980476908</v>
      </c>
      <c r="Q86" t="n">
        <v>0.1411729813894862</v>
      </c>
    </row>
    <row r="87">
      <c r="B87" t="inlineStr">
        <is>
          <t>NVDA</t>
        </is>
      </c>
      <c r="C87" t="inlineStr">
        <is>
          <t>NVIDIA Corporation</t>
        </is>
      </c>
      <c r="D87" t="n">
        <v>2022</v>
      </c>
      <c r="E87" t="n">
        <v>26914000000</v>
      </c>
      <c r="F87" t="n">
        <v>9752000000</v>
      </c>
      <c r="G87" t="n">
        <v>100</v>
      </c>
      <c r="H87" t="inlineStr">
        <is>
          <t>Excellent</t>
        </is>
      </c>
      <c r="I87" t="n">
        <v>6.650288350634371</v>
      </c>
      <c r="J87" t="n">
        <v>6.650288350634371</v>
      </c>
      <c r="K87" t="n">
        <v>0.6492903321691313</v>
      </c>
      <c r="L87" t="n">
        <v>0.3623393029649996</v>
      </c>
      <c r="M87" t="n">
        <v>0.3664512250112731</v>
      </c>
      <c r="N87" t="n">
        <v>0.220698395455677</v>
      </c>
      <c r="O87" t="n">
        <v>0.4445738764467158</v>
      </c>
      <c r="P87" t="n">
        <v>0.2677484327969765</v>
      </c>
      <c r="Q87" t="n">
        <v>0.3021475811845136</v>
      </c>
    </row>
    <row r="88">
      <c r="B88" t="inlineStr">
        <is>
          <t>TSLA</t>
        </is>
      </c>
      <c r="C88" t="inlineStr">
        <is>
          <t>Tesla Inc.</t>
        </is>
      </c>
      <c r="D88" t="n">
        <v>2024</v>
      </c>
      <c r="E88" t="n">
        <v>97690000000</v>
      </c>
      <c r="F88" t="n">
        <v>7130000000</v>
      </c>
      <c r="G88" t="n">
        <v>65.56</v>
      </c>
      <c r="H88" t="inlineStr">
        <is>
          <t>Good</t>
        </is>
      </c>
      <c r="I88" t="n">
        <v>2.024912390270983</v>
      </c>
      <c r="J88" t="n">
        <v>2.024912390270983</v>
      </c>
      <c r="K88" t="n">
        <v>0.178626266762207</v>
      </c>
      <c r="L88" t="n">
        <v>0.07298597604667827</v>
      </c>
      <c r="M88" t="n">
        <v>0.09778777447094482</v>
      </c>
      <c r="N88" t="n">
        <v>0.05840910952732039</v>
      </c>
      <c r="O88" t="n">
        <v>0.1868391096237982</v>
      </c>
      <c r="P88" t="n">
        <v>0.1115999016957483</v>
      </c>
      <c r="Q88" t="n">
        <v>0.03665677141979732</v>
      </c>
    </row>
    <row r="89">
      <c r="B89" t="inlineStr">
        <is>
          <t>TSLA</t>
        </is>
      </c>
      <c r="C89" t="inlineStr">
        <is>
          <t>Tesla Inc.</t>
        </is>
      </c>
      <c r="D89" t="n">
        <v>2023</v>
      </c>
      <c r="E89" t="n">
        <v>96773000000</v>
      </c>
      <c r="F89" t="n">
        <v>14999000000</v>
      </c>
      <c r="G89" t="n">
        <v>74.44</v>
      </c>
      <c r="H89" t="inlineStr">
        <is>
          <t>Good</t>
        </is>
      </c>
      <c r="I89" t="n">
        <v>1.72589397523306</v>
      </c>
      <c r="J89" t="n">
        <v>1.72589397523306</v>
      </c>
      <c r="K89" t="n">
        <v>0.1824889173633142</v>
      </c>
      <c r="L89" t="n">
        <v>0.1549915782294648</v>
      </c>
      <c r="M89" t="n">
        <v>0.2394705750870134</v>
      </c>
      <c r="N89" t="n">
        <v>0.140679810163387</v>
      </c>
      <c r="O89" t="n">
        <v>0.1528403103745569</v>
      </c>
      <c r="P89" t="n">
        <v>0.08978784070232043</v>
      </c>
      <c r="Q89" t="n">
        <v>0.04502288861562626</v>
      </c>
    </row>
    <row r="90">
      <c r="B90" t="inlineStr">
        <is>
          <t>TSLA</t>
        </is>
      </c>
      <c r="C90" t="inlineStr">
        <is>
          <t>Tesla Inc.</t>
        </is>
      </c>
      <c r="D90" t="n">
        <v>2022</v>
      </c>
      <c r="E90" t="n">
        <v>81462000000</v>
      </c>
      <c r="F90" t="n">
        <v>12583000000</v>
      </c>
      <c r="G90" t="n">
        <v>82.22</v>
      </c>
      <c r="H90" t="inlineStr">
        <is>
          <t>Excellent</t>
        </is>
      </c>
      <c r="I90" t="n">
        <v>1.53195552061103</v>
      </c>
      <c r="J90" t="n">
        <v>1.53195552061103</v>
      </c>
      <c r="K90" t="n">
        <v>0.25598438535759</v>
      </c>
      <c r="L90" t="n">
        <v>0.154464658368319</v>
      </c>
      <c r="M90" t="n">
        <v>0.2814736936292054</v>
      </c>
      <c r="N90" t="n">
        <v>0.1528212975782749</v>
      </c>
      <c r="O90" t="n">
        <v>0.128579098067287</v>
      </c>
      <c r="P90" t="n">
        <v>0.06980980835094368</v>
      </c>
      <c r="Q90" t="n">
        <v>0.09270580147798974</v>
      </c>
    </row>
    <row r="91">
      <c r="B91" t="inlineStr">
        <is>
          <t>TSLA</t>
        </is>
      </c>
      <c r="C91" t="inlineStr">
        <is>
          <t>Tesla Inc.</t>
        </is>
      </c>
      <c r="D91" t="n">
        <v>2021</v>
      </c>
      <c r="E91" t="n">
        <v>53823000000</v>
      </c>
      <c r="F91" t="n">
        <v>5524000000</v>
      </c>
      <c r="G91" t="n">
        <v>75.56</v>
      </c>
      <c r="H91" t="inlineStr">
        <is>
          <t>Good</t>
        </is>
      </c>
      <c r="I91" t="n">
        <v>1.375285460543009</v>
      </c>
      <c r="J91" t="n">
        <v>1.375285460543009</v>
      </c>
      <c r="K91" t="n">
        <v>0.2527915575125875</v>
      </c>
      <c r="L91" t="n">
        <v>0.1026327034910726</v>
      </c>
      <c r="M91" t="n">
        <v>0.1829805558315943</v>
      </c>
      <c r="N91" t="n">
        <v>0.08890891825336789</v>
      </c>
      <c r="O91" t="n">
        <v>0.2939150021531021</v>
      </c>
      <c r="P91" t="n">
        <v>0.1428111570713493</v>
      </c>
      <c r="Q91" t="n">
        <v>0.06471211192241236</v>
      </c>
    </row>
  </sheetData>
  <mergeCells count="1">
    <mergeCell ref="B2:M2"/>
  </mergeCells>
  <dataValidations count="1">
    <dataValidation sqref="C4" showDropDown="0" showInputMessage="0" showErrorMessage="0" allowBlank="0" errorTitle="Empresa Inválida" error="Selecione uma empresa da lista" type="list">
      <formula1>"AAPL,AMZN,ASML,AVGO,GOOGL,META,MSFT,NFLX,NVDA,TSLA"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7"/>
  <sheetViews>
    <sheetView workbookViewId="0">
      <selection activeCell="A1" sqref="A1"/>
    </sheetView>
  </sheetViews>
  <sheetFormatPr baseColWidth="8" defaultRowHeight="15"/>
  <cols>
    <col width="10" customWidth="1" min="2" max="2"/>
    <col width="25" customWidth="1" min="3" max="3"/>
    <col width="14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</cols>
  <sheetData>
    <row r="2">
      <c r="B2" s="13" t="inlineStr">
        <is>
          <t>📊 COMPARAÇÃO ENTRE EMPRESAS</t>
        </is>
      </c>
    </row>
    <row r="4">
      <c r="B4" s="4" t="inlineStr">
        <is>
          <t>Ticker</t>
        </is>
      </c>
      <c r="C4" s="4" t="inlineStr">
        <is>
          <t>Empresa</t>
        </is>
      </c>
      <c r="D4" s="4" t="inlineStr">
        <is>
          <t>Health Score</t>
        </is>
      </c>
      <c r="E4" s="4" t="inlineStr">
        <is>
          <t>Status</t>
        </is>
      </c>
      <c r="F4" s="4" t="inlineStr">
        <is>
          <t>Revenue ($B)</t>
        </is>
      </c>
      <c r="G4" s="4" t="inlineStr">
        <is>
          <t>Net Margin</t>
        </is>
      </c>
      <c r="H4" s="4" t="inlineStr">
        <is>
          <t>ROE</t>
        </is>
      </c>
      <c r="I4" s="4" t="inlineStr">
        <is>
          <t>D/E Ratio</t>
        </is>
      </c>
      <c r="J4" s="4" t="inlineStr">
        <is>
          <t>FCF Margin</t>
        </is>
      </c>
    </row>
    <row r="5">
      <c r="B5" s="7" t="inlineStr">
        <is>
          <t>NVDA</t>
        </is>
      </c>
      <c r="C5" s="7" t="inlineStr">
        <is>
          <t>NVIDIA Corporation</t>
        </is>
      </c>
      <c r="D5" s="17" t="n">
        <v>100</v>
      </c>
      <c r="E5" s="21" t="inlineStr">
        <is>
          <t>Excellent</t>
        </is>
      </c>
      <c r="F5" s="11" t="n">
        <v>130.497</v>
      </c>
      <c r="G5" s="10" t="n">
        <v>0.5584802715771244</v>
      </c>
      <c r="H5" s="10" t="n">
        <v>0.9187288060811577</v>
      </c>
      <c r="I5" s="11" t="n">
        <v>0.1294641168832806</v>
      </c>
      <c r="J5" s="10" t="n">
        <v>0.4663172333463604</v>
      </c>
    </row>
    <row r="6">
      <c r="B6" s="7" t="inlineStr">
        <is>
          <t>MSFT</t>
        </is>
      </c>
      <c r="C6" s="7" t="inlineStr">
        <is>
          <t>Microsoft Corporation</t>
        </is>
      </c>
      <c r="D6" s="17" t="n">
        <v>88.89</v>
      </c>
      <c r="E6" s="21" t="inlineStr">
        <is>
          <t>Excellent</t>
        </is>
      </c>
      <c r="F6" s="11" t="n">
        <v>281.724</v>
      </c>
      <c r="G6" s="10" t="n">
        <v>0.3614601524896707</v>
      </c>
      <c r="H6" s="10" t="n">
        <v>0.2964722734140952</v>
      </c>
      <c r="I6" s="11" t="n">
        <v>0.1763950634536609</v>
      </c>
      <c r="J6" s="10" t="n">
        <v>0.2541884965427156</v>
      </c>
    </row>
    <row r="7">
      <c r="B7" s="7" t="inlineStr">
        <is>
          <t>AAPL</t>
        </is>
      </c>
      <c r="C7" s="7" t="inlineStr">
        <is>
          <t>Apple Inc.</t>
        </is>
      </c>
      <c r="D7" s="17" t="n">
        <v>77.78</v>
      </c>
      <c r="E7" s="22" t="inlineStr">
        <is>
          <t>Good</t>
        </is>
      </c>
      <c r="F7" s="11" t="n">
        <v>416.161</v>
      </c>
      <c r="G7" s="10" t="n">
        <v>0.2691506412181824</v>
      </c>
      <c r="H7" s="10" t="n">
        <v>1.519129833317511</v>
      </c>
      <c r="I7" s="11" t="n">
        <v>1.338030461258866</v>
      </c>
      <c r="J7" s="10" t="n">
        <v>0.2373288222586931</v>
      </c>
    </row>
  </sheetData>
  <mergeCells count="1">
    <mergeCell ref="B2:L2"/>
  </mergeCells>
  <conditionalFormatting sqref="D5:D7">
    <cfRule type="dataBar" priority="1">
      <dataBar showValue="1">
        <cfvo type="num" val="0"/>
        <cfvo type="num" val="100"/>
        <color rgb="0063C384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4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2">
      <c r="B2" s="13" t="inlineStr">
        <is>
          <t>📈 TENDÊNCIAS HISTÓRICAS</t>
        </is>
      </c>
    </row>
    <row r="4">
      <c r="B4" s="4" t="inlineStr">
        <is>
          <t>Ticker</t>
        </is>
      </c>
      <c r="C4" s="4" t="inlineStr">
        <is>
          <t>2025</t>
        </is>
      </c>
      <c r="D4" s="4" t="inlineStr">
        <is>
          <t>2024</t>
        </is>
      </c>
      <c r="E4" s="4" t="inlineStr">
        <is>
          <t>2023</t>
        </is>
      </c>
      <c r="F4" s="4" t="inlineStr">
        <is>
          <t>2022</t>
        </is>
      </c>
      <c r="G4" s="4" t="inlineStr">
        <is>
          <t>2021</t>
        </is>
      </c>
      <c r="H4" s="4" t="inlineStr">
        <is>
          <t>Δ 5Y</t>
        </is>
      </c>
    </row>
    <row r="5">
      <c r="B5" s="7" t="inlineStr">
        <is>
          <t>AAPL</t>
        </is>
      </c>
      <c r="C5" s="8" t="n">
        <v>77.78</v>
      </c>
      <c r="D5" s="8" t="n">
        <v>77.78</v>
      </c>
      <c r="E5" s="8" t="n">
        <v>74.44</v>
      </c>
      <c r="F5" s="8" t="n">
        <v>70</v>
      </c>
      <c r="G5" s="23" t="inlineStr">
        <is>
          <t>-</t>
        </is>
      </c>
      <c r="H5" s="24" t="n">
        <v>7.780000000000001</v>
      </c>
    </row>
    <row r="6">
      <c r="B6" s="7" t="inlineStr">
        <is>
          <t>AMZN</t>
        </is>
      </c>
      <c r="C6" s="23" t="inlineStr">
        <is>
          <t>-</t>
        </is>
      </c>
      <c r="D6" s="8" t="n">
        <v>74.44</v>
      </c>
      <c r="E6" s="8" t="n">
        <v>67.78</v>
      </c>
      <c r="F6" s="8" t="n">
        <v>28.89</v>
      </c>
      <c r="G6" s="8" t="n">
        <v>61.11</v>
      </c>
      <c r="H6" s="24" t="n">
        <v>13.33</v>
      </c>
    </row>
    <row r="7">
      <c r="B7" s="7" t="inlineStr">
        <is>
          <t>ASML</t>
        </is>
      </c>
      <c r="C7" s="23" t="inlineStr">
        <is>
          <t>-</t>
        </is>
      </c>
      <c r="D7" s="8" t="n">
        <v>92.22</v>
      </c>
      <c r="E7" s="8" t="n">
        <v>80</v>
      </c>
      <c r="F7" s="8" t="n">
        <v>83.33</v>
      </c>
      <c r="G7" s="8" t="n">
        <v>88.89</v>
      </c>
      <c r="H7" s="24" t="n">
        <v>3.329999999999998</v>
      </c>
    </row>
    <row r="8">
      <c r="B8" s="7" t="inlineStr">
        <is>
          <t>AVGO</t>
        </is>
      </c>
      <c r="C8" s="23" t="inlineStr">
        <is>
          <t>-</t>
        </is>
      </c>
      <c r="D8" s="8" t="n">
        <v>72.22</v>
      </c>
      <c r="E8" s="8" t="n">
        <v>85.56</v>
      </c>
      <c r="F8" s="8" t="n">
        <v>85.56</v>
      </c>
      <c r="G8" s="8" t="n">
        <v>85.56</v>
      </c>
      <c r="H8" s="25" t="n">
        <v>-13.34</v>
      </c>
    </row>
    <row r="9">
      <c r="B9" s="7" t="inlineStr">
        <is>
          <t>GOOGL</t>
        </is>
      </c>
      <c r="C9" s="23" t="inlineStr">
        <is>
          <t>-</t>
        </is>
      </c>
      <c r="D9" s="8" t="n">
        <v>97.78</v>
      </c>
      <c r="E9" s="8" t="n">
        <v>100</v>
      </c>
      <c r="F9" s="8" t="n">
        <v>100</v>
      </c>
      <c r="G9" s="8" t="n">
        <v>100</v>
      </c>
      <c r="H9" s="25" t="n">
        <v>-2.219999999999999</v>
      </c>
    </row>
    <row r="10">
      <c r="B10" s="7" t="inlineStr">
        <is>
          <t>META</t>
        </is>
      </c>
      <c r="C10" s="23" t="inlineStr">
        <is>
          <t>-</t>
        </is>
      </c>
      <c r="D10" s="8" t="n">
        <v>100</v>
      </c>
      <c r="E10" s="8" t="n">
        <v>100</v>
      </c>
      <c r="F10" s="8" t="n">
        <v>93.33</v>
      </c>
      <c r="G10" s="8" t="n">
        <v>100</v>
      </c>
      <c r="H10" s="26" t="n">
        <v>0</v>
      </c>
    </row>
    <row r="11">
      <c r="B11" s="7" t="inlineStr">
        <is>
          <t>MSFT</t>
        </is>
      </c>
      <c r="C11" s="8" t="n">
        <v>88.89</v>
      </c>
      <c r="D11" s="8" t="n">
        <v>88.89</v>
      </c>
      <c r="E11" s="8" t="n">
        <v>92.22</v>
      </c>
      <c r="F11" s="8" t="n">
        <v>92.22</v>
      </c>
      <c r="G11" s="23" t="inlineStr">
        <is>
          <t>-</t>
        </is>
      </c>
      <c r="H11" s="25" t="n">
        <v>-3.329999999999998</v>
      </c>
    </row>
    <row r="12">
      <c r="B12" s="7" t="inlineStr">
        <is>
          <t>NFLX</t>
        </is>
      </c>
      <c r="C12" s="23" t="inlineStr">
        <is>
          <t>-</t>
        </is>
      </c>
      <c r="D12" s="8" t="n">
        <v>85.56</v>
      </c>
      <c r="E12" s="8" t="n">
        <v>82.22</v>
      </c>
      <c r="F12" s="8" t="n">
        <v>70</v>
      </c>
      <c r="G12" s="8" t="n">
        <v>53.33</v>
      </c>
      <c r="H12" s="24" t="n">
        <v>32.23</v>
      </c>
    </row>
    <row r="13">
      <c r="B13" s="7" t="inlineStr">
        <is>
          <t>NVDA</t>
        </is>
      </c>
      <c r="C13" s="8" t="n">
        <v>100</v>
      </c>
      <c r="D13" s="8" t="n">
        <v>100</v>
      </c>
      <c r="E13" s="8" t="n">
        <v>81.11</v>
      </c>
      <c r="F13" s="8" t="n">
        <v>100</v>
      </c>
      <c r="G13" s="23" t="inlineStr">
        <is>
          <t>-</t>
        </is>
      </c>
      <c r="H13" s="26" t="n">
        <v>0</v>
      </c>
    </row>
    <row r="14">
      <c r="B14" s="7" t="inlineStr">
        <is>
          <t>TSLA</t>
        </is>
      </c>
      <c r="C14" s="23" t="inlineStr">
        <is>
          <t>-</t>
        </is>
      </c>
      <c r="D14" s="8" t="n">
        <v>65.56</v>
      </c>
      <c r="E14" s="8" t="n">
        <v>74.44</v>
      </c>
      <c r="F14" s="8" t="n">
        <v>82.22</v>
      </c>
      <c r="G14" s="8" t="n">
        <v>75.56</v>
      </c>
      <c r="H14" s="25" t="n">
        <v>-10</v>
      </c>
    </row>
  </sheetData>
  <mergeCells count="1">
    <mergeCell ref="B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id</t>
        </is>
      </c>
      <c r="B1" s="27" t="inlineStr">
        <is>
          <t>ticker</t>
        </is>
      </c>
      <c r="C1" s="27" t="inlineStr">
        <is>
          <t>company_name</t>
        </is>
      </c>
      <c r="D1" s="27" t="inlineStr">
        <is>
          <t>fiscal_year</t>
        </is>
      </c>
      <c r="E1" s="27" t="inlineStr">
        <is>
          <t>current_ratio</t>
        </is>
      </c>
      <c r="F1" s="27" t="inlineStr">
        <is>
          <t>quick_ratio</t>
        </is>
      </c>
      <c r="G1" s="27" t="inlineStr">
        <is>
          <t>cash_ratio</t>
        </is>
      </c>
      <c r="H1" s="27" t="inlineStr">
        <is>
          <t>gross_margin</t>
        </is>
      </c>
      <c r="I1" s="27" t="inlineStr">
        <is>
          <t>operating_margin</t>
        </is>
      </c>
      <c r="J1" s="27" t="inlineStr">
        <is>
          <t>net_margin</t>
        </is>
      </c>
      <c r="K1" s="27" t="inlineStr">
        <is>
          <t>roe</t>
        </is>
      </c>
      <c r="L1" s="27" t="inlineStr">
        <is>
          <t>roa</t>
        </is>
      </c>
      <c r="M1" s="27" t="inlineStr">
        <is>
          <t>debt_to_equity</t>
        </is>
      </c>
      <c r="N1" s="27" t="inlineStr">
        <is>
          <t>debt_to_assets</t>
        </is>
      </c>
      <c r="O1" s="27" t="inlineStr">
        <is>
          <t>interest_coverage</t>
        </is>
      </c>
      <c r="P1" s="27" t="inlineStr">
        <is>
          <t>asset_turnover</t>
        </is>
      </c>
      <c r="Q1" s="27" t="inlineStr">
        <is>
          <t>operating_cash_flow_ratio</t>
        </is>
      </c>
      <c r="R1" s="27" t="inlineStr">
        <is>
          <t>free_cash_flow_margin</t>
        </is>
      </c>
      <c r="S1" s="27" t="inlineStr">
        <is>
          <t>health_score</t>
        </is>
      </c>
      <c r="T1" s="27" t="inlineStr">
        <is>
          <t>health_status</t>
        </is>
      </c>
      <c r="U1" s="27" t="inlineStr">
        <is>
          <t>analysis_notes</t>
        </is>
      </c>
      <c r="V1" s="27" t="inlineStr">
        <is>
          <t>calculated_at</t>
        </is>
      </c>
    </row>
    <row r="2">
      <c r="A2" s="7" t="n">
        <v>1</v>
      </c>
      <c r="B2" s="7" t="inlineStr">
        <is>
          <t>AAPL</t>
        </is>
      </c>
      <c r="C2" s="7" t="inlineStr">
        <is>
          <t>Apple Inc.</t>
        </is>
      </c>
      <c r="D2" s="7" t="n">
        <v>2025</v>
      </c>
      <c r="E2" s="7" t="n">
        <v>0.8932929222186667</v>
      </c>
      <c r="F2" s="7" t="n">
        <v>0.8932929222186667</v>
      </c>
      <c r="G2" s="7" t="n"/>
      <c r="H2" s="7" t="n">
        <v>0.4690516410716045</v>
      </c>
      <c r="I2" s="7" t="n">
        <v>0.3197079976259188</v>
      </c>
      <c r="J2" s="7" t="n">
        <v>0.2691506412181824</v>
      </c>
      <c r="K2" s="7" t="n">
        <v>1.519129833317511</v>
      </c>
      <c r="L2" s="7" t="n">
        <v>0.3117962593356549</v>
      </c>
      <c r="M2" s="7" t="n">
        <v>1.338030461258866</v>
      </c>
      <c r="N2" s="7" t="n">
        <v>0.2746262258483859</v>
      </c>
      <c r="O2" s="7" t="n"/>
      <c r="P2" s="7" t="n">
        <v>1.158445166336804</v>
      </c>
      <c r="Q2" s="7" t="n">
        <v>0.6730744848488508</v>
      </c>
      <c r="R2" s="7" t="n">
        <v>0.2373288222586931</v>
      </c>
      <c r="S2" s="7" t="n">
        <v>77.78</v>
      </c>
      <c r="T2" s="7" t="inlineStr">
        <is>
          <t>Good</t>
        </is>
      </c>
      <c r="U2" s="7" t="inlineStr">
        <is>
          <t>⚠️ Low liquidity - current ratio below 1.0; ✅ Excellent profit margins (&gt;20%); ✅ Outstanding return on equity (&gt;25%); ✅ Strong free cash flow generation</t>
        </is>
      </c>
      <c r="V2" s="28" t="n">
        <v>46001.1913107844</v>
      </c>
    </row>
    <row r="3">
      <c r="A3" s="7" t="n">
        <v>2</v>
      </c>
      <c r="B3" s="7" t="inlineStr">
        <is>
          <t>AAPL</t>
        </is>
      </c>
      <c r="C3" s="7" t="inlineStr">
        <is>
          <t>Apple Inc.</t>
        </is>
      </c>
      <c r="D3" s="7" t="n">
        <v>2024</v>
      </c>
      <c r="E3" s="7" t="n">
        <v>0.8673125765340832</v>
      </c>
      <c r="F3" s="7" t="n">
        <v>0.8673125765340832</v>
      </c>
      <c r="G3" s="7" t="n"/>
      <c r="H3" s="7" t="n">
        <v>0.4620634981523393</v>
      </c>
      <c r="I3" s="7" t="n">
        <v>0.3151022287007557</v>
      </c>
      <c r="J3" s="7" t="n">
        <v>0.2397125576994387</v>
      </c>
      <c r="K3" s="7" t="n">
        <v>1.64593503072871</v>
      </c>
      <c r="L3" s="7" t="n">
        <v>0.2568250315085758</v>
      </c>
      <c r="M3" s="7" t="n">
        <v>1.872326602282704</v>
      </c>
      <c r="N3" s="7" t="n">
        <v>0.2921502548084827</v>
      </c>
      <c r="O3" s="7" t="n"/>
      <c r="P3" s="7" t="n">
        <v>1.071387473286207</v>
      </c>
      <c r="Q3" s="7" t="n">
        <v>0.6704045534944896</v>
      </c>
      <c r="R3" s="7" t="n">
        <v>0.2782538647435652</v>
      </c>
      <c r="S3" s="7" t="n">
        <v>77.78</v>
      </c>
      <c r="T3" s="7" t="inlineStr">
        <is>
          <t>Good</t>
        </is>
      </c>
      <c r="U3" s="7" t="inlineStr">
        <is>
          <t>⚠️ Low liquidity - current ratio below 1.0; ✅ Excellent profit margins (&gt;20%); ✅ Outstanding return on equity (&gt;25%); ✅ Strong free cash flow generation</t>
        </is>
      </c>
      <c r="V3" s="28" t="n">
        <v>46001.1913107844</v>
      </c>
    </row>
    <row r="4">
      <c r="A4" s="7" t="n">
        <v>3</v>
      </c>
      <c r="B4" s="7" t="inlineStr">
        <is>
          <t>AAPL</t>
        </is>
      </c>
      <c r="C4" s="7" t="inlineStr">
        <is>
          <t>Apple Inc.</t>
        </is>
      </c>
      <c r="D4" s="7" t="n">
        <v>2023</v>
      </c>
      <c r="E4" s="7" t="n">
        <v>0.9880116717592975</v>
      </c>
      <c r="F4" s="7" t="n">
        <v>0.9880116717592975</v>
      </c>
      <c r="G4" s="7" t="n"/>
      <c r="H4" s="7" t="n">
        <v>0.4413112957720756</v>
      </c>
      <c r="I4" s="7" t="n">
        <v>0.2982141226502472</v>
      </c>
      <c r="J4" s="7" t="n">
        <v>0.2530623426432028</v>
      </c>
      <c r="K4" s="7" t="n">
        <v>1.560760145463908</v>
      </c>
      <c r="L4" s="7" t="n">
        <v>0.2750983456377648</v>
      </c>
      <c r="M4" s="7" t="n">
        <v>1.787532584558942</v>
      </c>
      <c r="N4" s="7" t="n">
        <v>0.3150690759338936</v>
      </c>
      <c r="O4" s="7" t="n"/>
      <c r="P4" s="7" t="n">
        <v>1.087077369016657</v>
      </c>
      <c r="Q4" s="7" t="n">
        <v>0.7607495802020535</v>
      </c>
      <c r="R4" s="7" t="n">
        <v>0.2598171073744081</v>
      </c>
      <c r="S4" s="7" t="n">
        <v>74.44</v>
      </c>
      <c r="T4" s="7" t="inlineStr">
        <is>
          <t>Good</t>
        </is>
      </c>
      <c r="U4" s="7" t="inlineStr">
        <is>
          <t>⚠️ Low liquidity - current ratio below 1.0; ✅ Excellent profit margins (&gt;20%); ✅ Outstanding return on equity (&gt;25%); ✅ Strong free cash flow generation</t>
        </is>
      </c>
      <c r="V4" s="28" t="n">
        <v>46001.1913107844</v>
      </c>
    </row>
    <row r="5">
      <c r="A5" s="7" t="n">
        <v>4</v>
      </c>
      <c r="B5" s="7" t="inlineStr">
        <is>
          <t>AAPL</t>
        </is>
      </c>
      <c r="C5" s="7" t="inlineStr">
        <is>
          <t>Apple Inc.</t>
        </is>
      </c>
      <c r="D5" s="7" t="n">
        <v>2022</v>
      </c>
      <c r="E5" s="7" t="n">
        <v>0.8793560286267226</v>
      </c>
      <c r="F5" s="7" t="n">
        <v>0.8793560286267226</v>
      </c>
      <c r="G5" s="7" t="n"/>
      <c r="H5" s="7" t="n">
        <v>0.4330963056136009</v>
      </c>
      <c r="I5" s="7" t="n">
        <v>0.3028874439552859</v>
      </c>
      <c r="J5" s="7" t="n">
        <v>0.2530964070519973</v>
      </c>
      <c r="K5" s="7" t="n">
        <v>1.969588727502368</v>
      </c>
      <c r="L5" s="7" t="n">
        <v>0.2829244092925685</v>
      </c>
      <c r="M5" s="7" t="n">
        <v>2.614461635617304</v>
      </c>
      <c r="N5" s="7" t="n">
        <v>0.3755581069013905</v>
      </c>
      <c r="O5" s="7" t="n"/>
      <c r="P5" s="7" t="n">
        <v>1.117852333772732</v>
      </c>
      <c r="Q5" s="7" t="n">
        <v>0.7932810328479952</v>
      </c>
      <c r="R5" s="7" t="n">
        <v>0.2826149804223895</v>
      </c>
      <c r="S5" s="7" t="n">
        <v>70</v>
      </c>
      <c r="T5" s="7" t="inlineStr">
        <is>
          <t>Good</t>
        </is>
      </c>
      <c r="U5" s="7" t="inlineStr">
        <is>
          <t>⚠️ Low liquidity - current ratio below 1.0; ⚠️ High leverage - debt-to-equity above 2.0; ✅ Excellent profit margins (&gt;20%); ✅ Outstanding return on equity (&gt;25%); ✅ Strong free cash flow generation</t>
        </is>
      </c>
      <c r="V5" s="28" t="n">
        <v>46001.1913107844</v>
      </c>
    </row>
    <row r="6">
      <c r="A6" s="7" t="n">
        <v>13</v>
      </c>
      <c r="B6" s="7" t="inlineStr">
        <is>
          <t>AMZN</t>
        </is>
      </c>
      <c r="C6" s="7" t="inlineStr">
        <is>
          <t>Amazon.com Inc.</t>
        </is>
      </c>
      <c r="D6" s="7" t="n">
        <v>2024</v>
      </c>
      <c r="E6" s="7" t="n">
        <v>1.063734806137178</v>
      </c>
      <c r="F6" s="7" t="n">
        <v>1.063734806137178</v>
      </c>
      <c r="G6" s="7" t="n"/>
      <c r="H6" s="7" t="n">
        <v>0.4885439346415679</v>
      </c>
      <c r="I6" s="7" t="n">
        <v>0.1075194487420038</v>
      </c>
      <c r="J6" s="7" t="n">
        <v>0.09287117197186653</v>
      </c>
      <c r="K6" s="7" t="n">
        <v>0.2071825715984194</v>
      </c>
      <c r="L6" s="7" t="n">
        <v>0.09481288026449286</v>
      </c>
      <c r="M6" s="7" t="n">
        <v>0.4577403224114417</v>
      </c>
      <c r="N6" s="7" t="n">
        <v>0.2094755270493876</v>
      </c>
      <c r="O6" s="7" t="n"/>
      <c r="P6" s="7" t="n">
        <v>1.020907545919788</v>
      </c>
      <c r="Q6" s="7" t="n">
        <v>0.6458025647742029</v>
      </c>
      <c r="R6" s="7" t="n">
        <v>0.05153622724971354</v>
      </c>
      <c r="S6" s="7" t="n">
        <v>74.44</v>
      </c>
      <c r="T6" s="7" t="inlineStr">
        <is>
          <t>Good</t>
        </is>
      </c>
      <c r="U6" s="7" t="inlineStr">
        <is>
          <t>No significant concerns identified.</t>
        </is>
      </c>
      <c r="V6" s="28" t="n">
        <v>46001.19131112201</v>
      </c>
    </row>
    <row r="7">
      <c r="A7" s="7" t="n">
        <v>14</v>
      </c>
      <c r="B7" s="7" t="inlineStr">
        <is>
          <t>AMZN</t>
        </is>
      </c>
      <c r="C7" s="7" t="inlineStr">
        <is>
          <t>Amazon.com Inc.</t>
        </is>
      </c>
      <c r="D7" s="7" t="n">
        <v>2023</v>
      </c>
      <c r="E7" s="7" t="n">
        <v>1.045077220662515</v>
      </c>
      <c r="F7" s="7" t="n">
        <v>1.045077220662515</v>
      </c>
      <c r="G7" s="7" t="n"/>
      <c r="H7" s="7" t="n">
        <v>0.4698208895500057</v>
      </c>
      <c r="I7" s="7" t="n">
        <v>0.0641144079960333</v>
      </c>
      <c r="J7" s="7" t="n">
        <v>0.05293283575597832</v>
      </c>
      <c r="K7" s="7" t="n">
        <v>0.1507120743034056</v>
      </c>
      <c r="L7" s="7" t="n">
        <v>0.05763904412962675</v>
      </c>
      <c r="M7" s="7" t="n">
        <v>0.6717572755417957</v>
      </c>
      <c r="N7" s="7" t="n">
        <v>0.2569100546742091</v>
      </c>
      <c r="O7" s="7" t="n"/>
      <c r="P7" s="7" t="n">
        <v>1.088909054397617</v>
      </c>
      <c r="Q7" s="7" t="n">
        <v>0.5150833449553411</v>
      </c>
      <c r="R7" s="7" t="n">
        <v>0.0560505232391242</v>
      </c>
      <c r="S7" s="7" t="n">
        <v>67.78</v>
      </c>
      <c r="T7" s="7" t="inlineStr">
        <is>
          <t>Good</t>
        </is>
      </c>
      <c r="U7" s="7" t="inlineStr">
        <is>
          <t>No significant concerns identified.</t>
        </is>
      </c>
      <c r="V7" s="28" t="n">
        <v>46001.19131112201</v>
      </c>
    </row>
    <row r="8">
      <c r="A8" s="7" t="n">
        <v>15</v>
      </c>
      <c r="B8" s="7" t="inlineStr">
        <is>
          <t>AMZN</t>
        </is>
      </c>
      <c r="C8" s="7" t="inlineStr">
        <is>
          <t>Amazon.com Inc.</t>
        </is>
      </c>
      <c r="D8" s="7" t="n">
        <v>2022</v>
      </c>
      <c r="E8" s="7" t="n">
        <v>0.9446435811136924</v>
      </c>
      <c r="F8" s="7" t="n">
        <v>0.9446435811136924</v>
      </c>
      <c r="G8" s="7" t="n"/>
      <c r="H8" s="7" t="n">
        <v>0.4380533986532629</v>
      </c>
      <c r="I8" s="7" t="n">
        <v>0.02382958191224223</v>
      </c>
      <c r="J8" s="7" t="n">
        <v>-0.005295895000418302</v>
      </c>
      <c r="K8" s="7" t="n">
        <v>-0.01863834624049081</v>
      </c>
      <c r="L8" s="7" t="n">
        <v>-0.005883179337547955</v>
      </c>
      <c r="M8" s="7" t="n">
        <v>0.9594297569893798</v>
      </c>
      <c r="N8" s="7" t="n">
        <v>0.3028432485005674</v>
      </c>
      <c r="O8" s="7" t="n"/>
      <c r="P8" s="7" t="n">
        <v>1.110894256227373</v>
      </c>
      <c r="Q8" s="7" t="n">
        <v>0.3008629732356026</v>
      </c>
      <c r="R8" s="7" t="n">
        <v>-0.03286684579061953</v>
      </c>
      <c r="S8" s="7" t="n">
        <v>28.89</v>
      </c>
      <c r="T8" s="7" t="inlineStr">
        <is>
          <t>Poor</t>
        </is>
      </c>
      <c r="U8" s="7" t="inlineStr">
        <is>
          <t>⚠️ Low liquidity - current ratio below 1.0; 🔴 Company is not profitable; ⚠️ Low return on equity (&lt;5%); ⚠️ Negative free cash flow</t>
        </is>
      </c>
      <c r="V8" s="28" t="n">
        <v>46001.19131112201</v>
      </c>
    </row>
    <row r="9">
      <c r="A9" s="7" t="n">
        <v>16</v>
      </c>
      <c r="B9" s="7" t="inlineStr">
        <is>
          <t>AMZN</t>
        </is>
      </c>
      <c r="C9" s="7" t="inlineStr">
        <is>
          <t>Amazon.com Inc.</t>
        </is>
      </c>
      <c r="D9" s="7" t="n">
        <v>2021</v>
      </c>
      <c r="E9" s="7" t="n">
        <v>1.135759773944583</v>
      </c>
      <c r="F9" s="7" t="n">
        <v>1.135759773944583</v>
      </c>
      <c r="G9" s="7" t="n"/>
      <c r="H9" s="7" t="n">
        <v>0.420325144416396</v>
      </c>
      <c r="I9" s="7" t="n">
        <v>0.05295409750926947</v>
      </c>
      <c r="J9" s="7" t="n">
        <v>0.07101412875514557</v>
      </c>
      <c r="K9" s="7" t="n">
        <v>0.2413396506202756</v>
      </c>
      <c r="L9" s="7" t="n">
        <v>0.07933439385184604</v>
      </c>
      <c r="M9" s="7" t="n">
        <v>0.8419472675322797</v>
      </c>
      <c r="N9" s="7" t="n">
        <v>0.2767691755300809</v>
      </c>
      <c r="O9" s="7" t="n"/>
      <c r="P9" s="7" t="n">
        <v>1.117163517212025</v>
      </c>
      <c r="Q9" s="7" t="n">
        <v>0.3256364837698396</v>
      </c>
      <c r="R9" s="7" t="n">
        <v>-0.03134378551877094</v>
      </c>
      <c r="S9" s="7" t="n">
        <v>61.11</v>
      </c>
      <c r="T9" s="7" t="inlineStr">
        <is>
          <t>Fair</t>
        </is>
      </c>
      <c r="U9" s="7" t="inlineStr">
        <is>
          <t>⚠️ Negative free cash flow</t>
        </is>
      </c>
      <c r="V9" s="28" t="n">
        <v>46001.19131112201</v>
      </c>
    </row>
    <row r="10">
      <c r="A10" s="7" t="n">
        <v>33</v>
      </c>
      <c r="B10" s="7" t="inlineStr">
        <is>
          <t>ASML</t>
        </is>
      </c>
      <c r="C10" s="7" t="inlineStr">
        <is>
          <t>ASML Holding N.V.</t>
        </is>
      </c>
      <c r="D10" s="7" t="n">
        <v>2024</v>
      </c>
      <c r="E10" s="7" t="n">
        <v>1.532930368951794</v>
      </c>
      <c r="F10" s="7" t="n">
        <v>1.532930368951794</v>
      </c>
      <c r="G10" s="7" t="n"/>
      <c r="H10" s="7" t="n">
        <v>0.5127570065350689</v>
      </c>
      <c r="I10" s="7" t="n">
        <v>0.3192382947255943</v>
      </c>
      <c r="J10" s="7" t="n">
        <v>0.2678989063401137</v>
      </c>
      <c r="K10" s="7" t="n">
        <v>0.4097895739521995</v>
      </c>
      <c r="L10" s="7" t="n">
        <v>0.1558275845036798</v>
      </c>
      <c r="M10" s="7" t="n">
        <v>0.1990225580187045</v>
      </c>
      <c r="N10" s="7" t="n">
        <v>0.07568080412269292</v>
      </c>
      <c r="O10" s="7" t="n"/>
      <c r="P10" s="7" t="n">
        <v>0.5816656239195219</v>
      </c>
      <c r="Q10" s="7" t="n">
        <v>0.5568788214289276</v>
      </c>
      <c r="R10" s="7" t="n">
        <v>0.3213789101613777</v>
      </c>
      <c r="S10" s="7" t="n">
        <v>92.22</v>
      </c>
      <c r="T10" s="7" t="inlineStr">
        <is>
          <t>Excellent</t>
        </is>
      </c>
      <c r="U10" s="7" t="inlineStr">
        <is>
          <t>✅ Conservative debt levels; ✅ Excellent profit margins (&gt;20%); ✅ Outstanding return on equity (&gt;25%); ✅ Strong free cash flow generation</t>
        </is>
      </c>
      <c r="V10" s="28" t="n">
        <v>46001.19131139722</v>
      </c>
    </row>
    <row r="11">
      <c r="A11" s="7" t="n">
        <v>34</v>
      </c>
      <c r="B11" s="7" t="inlineStr">
        <is>
          <t>ASML</t>
        </is>
      </c>
      <c r="C11" s="7" t="inlineStr">
        <is>
          <t>ASML Holding N.V.</t>
        </is>
      </c>
      <c r="D11" s="7" t="n">
        <v>2023</v>
      </c>
      <c r="E11" s="7" t="n">
        <v>1.498884772069531</v>
      </c>
      <c r="F11" s="7" t="n">
        <v>1.498884772069531</v>
      </c>
      <c r="G11" s="7" t="n"/>
      <c r="H11" s="7" t="n">
        <v>0.5129488179690477</v>
      </c>
      <c r="I11" s="7" t="n">
        <v>0.3281129234174574</v>
      </c>
      <c r="J11" s="7" t="n">
        <v>0.2844494439102274</v>
      </c>
      <c r="K11" s="7" t="n">
        <v>0.5827212988017008</v>
      </c>
      <c r="L11" s="7" t="n">
        <v>0.1961834449102171</v>
      </c>
      <c r="M11" s="7" t="n">
        <v>0.3442954417055692</v>
      </c>
      <c r="N11" s="7" t="n">
        <v>0.1159131577300882</v>
      </c>
      <c r="O11" s="7" t="n"/>
      <c r="P11" s="7" t="n">
        <v>0.6896953012575862</v>
      </c>
      <c r="Q11" s="7" t="n">
        <v>0.334470067036566</v>
      </c>
      <c r="R11" s="7" t="n">
        <v>0.1178293448482319</v>
      </c>
      <c r="S11" s="7" t="n">
        <v>80</v>
      </c>
      <c r="T11" s="7" t="inlineStr">
        <is>
          <t>Excellent</t>
        </is>
      </c>
      <c r="U11" s="7" t="inlineStr">
        <is>
          <t>✅ Excellent profit margins (&gt;20%); ✅ Outstanding return on equity (&gt;25%)</t>
        </is>
      </c>
      <c r="V11" s="28" t="n">
        <v>46001.19131139722</v>
      </c>
    </row>
    <row r="12">
      <c r="A12" s="7" t="n">
        <v>35</v>
      </c>
      <c r="B12" s="7" t="inlineStr">
        <is>
          <t>ASML</t>
        </is>
      </c>
      <c r="C12" s="7" t="inlineStr">
        <is>
          <t>ASML Holding N.V.</t>
        </is>
      </c>
      <c r="D12" s="7" t="n">
        <v>2022</v>
      </c>
      <c r="E12" s="7" t="n">
        <v>1.282551880602327</v>
      </c>
      <c r="F12" s="7" t="n">
        <v>1.282551880602327</v>
      </c>
      <c r="G12" s="7" t="n"/>
      <c r="H12" s="7" t="n">
        <v>0.5053557765876052</v>
      </c>
      <c r="I12" s="7" t="n">
        <v>0.3070220181926379</v>
      </c>
      <c r="J12" s="7" t="n">
        <v>0.2656257379542256</v>
      </c>
      <c r="K12" s="7" t="n">
        <v>0.6383302310800382</v>
      </c>
      <c r="L12" s="7" t="n">
        <v>0.154934931846481</v>
      </c>
      <c r="M12" s="7" t="n">
        <v>0.4835429245925455</v>
      </c>
      <c r="N12" s="7" t="n">
        <v>0.1173650979052572</v>
      </c>
      <c r="O12" s="7" t="n"/>
      <c r="P12" s="7" t="n">
        <v>0.5832828288393517</v>
      </c>
      <c r="Q12" s="7" t="n">
        <v>0.4719188594052359</v>
      </c>
      <c r="R12" s="7" t="n">
        <v>0.33851436236032</v>
      </c>
      <c r="S12" s="7" t="n">
        <v>83.33</v>
      </c>
      <c r="T12" s="7" t="inlineStr">
        <is>
          <t>Excellent</t>
        </is>
      </c>
      <c r="U12" s="7" t="inlineStr">
        <is>
          <t>✅ Excellent profit margins (&gt;20%); ✅ Outstanding return on equity (&gt;25%); ✅ Strong free cash flow generation</t>
        </is>
      </c>
      <c r="V12" s="28" t="n">
        <v>46001.19131139722</v>
      </c>
    </row>
    <row r="13">
      <c r="A13" s="7" t="n">
        <v>36</v>
      </c>
      <c r="B13" s="7" t="inlineStr">
        <is>
          <t>ASML</t>
        </is>
      </c>
      <c r="C13" s="7" t="inlineStr">
        <is>
          <t>ASML Holding N.V.</t>
        </is>
      </c>
      <c r="D13" s="7" t="n">
        <v>2021</v>
      </c>
      <c r="E13" s="7" t="n">
        <v>1.479118555862742</v>
      </c>
      <c r="F13" s="7" t="n">
        <v>1.479118555862742</v>
      </c>
      <c r="G13" s="7" t="n"/>
      <c r="H13" s="7" t="n">
        <v>0.5270538928590618</v>
      </c>
      <c r="I13" s="7" t="n">
        <v>0.3512116490247703</v>
      </c>
      <c r="J13" s="7" t="n">
        <v>0.3161141260544839</v>
      </c>
      <c r="K13" s="7" t="n">
        <v>0.5801629094925349</v>
      </c>
      <c r="L13" s="7" t="n">
        <v>0.1946081836525421</v>
      </c>
      <c r="M13" s="7" t="n">
        <v>0.4520541190856557</v>
      </c>
      <c r="N13" s="7" t="n">
        <v>0.1516357381495816</v>
      </c>
      <c r="O13" s="7" t="n"/>
      <c r="P13" s="7" t="n">
        <v>0.6156263438192584</v>
      </c>
      <c r="Q13" s="7" t="n">
        <v>0.8819157586599448</v>
      </c>
      <c r="R13" s="7" t="n">
        <v>0.5322389984417818</v>
      </c>
      <c r="S13" s="7" t="n">
        <v>88.89</v>
      </c>
      <c r="T13" s="7" t="inlineStr">
        <is>
          <t>Excellent</t>
        </is>
      </c>
      <c r="U13" s="7" t="inlineStr">
        <is>
          <t>✅ Excellent profit margins (&gt;20%); ✅ Outstanding return on equity (&gt;25%); ✅ Strong free cash flow generation</t>
        </is>
      </c>
      <c r="V13" s="28" t="n">
        <v>46001.19131139722</v>
      </c>
    </row>
    <row r="14">
      <c r="A14" s="7" t="n">
        <v>29</v>
      </c>
      <c r="B14" s="7" t="inlineStr">
        <is>
          <t>AVGO</t>
        </is>
      </c>
      <c r="C14" s="7" t="inlineStr">
        <is>
          <t>Broadcom Inc.</t>
        </is>
      </c>
      <c r="D14" s="7" t="n">
        <v>2024</v>
      </c>
      <c r="E14" s="7" t="n">
        <v>1.173564113313769</v>
      </c>
      <c r="F14" s="7" t="n">
        <v>1.173564113313769</v>
      </c>
      <c r="G14" s="7" t="n"/>
      <c r="H14" s="7" t="n">
        <v>0.6303369915073487</v>
      </c>
      <c r="I14" s="7" t="n">
        <v>0.2907666653740257</v>
      </c>
      <c r="J14" s="7" t="n">
        <v>0.1143017799666499</v>
      </c>
      <c r="K14" s="7" t="n">
        <v>0.08710363781435622</v>
      </c>
      <c r="L14" s="7" t="n">
        <v>0.03558815539255637</v>
      </c>
      <c r="M14" s="7" t="n">
        <v>0.998345104760779</v>
      </c>
      <c r="N14" s="7" t="n">
        <v>0.4078964049624196</v>
      </c>
      <c r="O14" s="7" t="n"/>
      <c r="P14" s="7" t="n">
        <v>0.3113525913851912</v>
      </c>
      <c r="Q14" s="7" t="n">
        <v>1.195544109720309</v>
      </c>
      <c r="R14" s="7" t="n">
        <v>0.3764299841005158</v>
      </c>
      <c r="S14" s="7" t="n">
        <v>72.22</v>
      </c>
      <c r="T14" s="7" t="inlineStr">
        <is>
          <t>Good</t>
        </is>
      </c>
      <c r="U14" s="7" t="inlineStr">
        <is>
          <t>✅ Strong free cash flow generation</t>
        </is>
      </c>
      <c r="V14" s="28" t="n">
        <v>46001.19131135051</v>
      </c>
    </row>
    <row r="15">
      <c r="A15" s="7" t="n">
        <v>30</v>
      </c>
      <c r="B15" s="7" t="inlineStr">
        <is>
          <t>AVGO</t>
        </is>
      </c>
      <c r="C15" s="7" t="inlineStr">
        <is>
          <t>Broadcom Inc.</t>
        </is>
      </c>
      <c r="D15" s="7" t="n">
        <v>2023</v>
      </c>
      <c r="E15" s="7" t="n">
        <v>2.815259959486833</v>
      </c>
      <c r="F15" s="7" t="n">
        <v>2.815259959486833</v>
      </c>
      <c r="G15" s="7" t="n"/>
      <c r="H15" s="7" t="n">
        <v>0.6892989754041151</v>
      </c>
      <c r="I15" s="7" t="n">
        <v>0.459281386973394</v>
      </c>
      <c r="J15" s="7" t="n">
        <v>0.3931433038331612</v>
      </c>
      <c r="K15" s="7" t="n">
        <v>0.5870435217608805</v>
      </c>
      <c r="L15" s="7" t="n">
        <v>0.1932721208877177</v>
      </c>
      <c r="M15" s="7" t="n">
        <v>1.635359346339837</v>
      </c>
      <c r="N15" s="7" t="n">
        <v>0.5384087509092655</v>
      </c>
      <c r="O15" s="7" t="n"/>
      <c r="P15" s="7" t="n">
        <v>0.4916073070641358</v>
      </c>
      <c r="Q15" s="7" t="n">
        <v>2.442268737339635</v>
      </c>
      <c r="R15" s="7" t="n">
        <v>0.492280633183506</v>
      </c>
      <c r="S15" s="7" t="n">
        <v>85.56</v>
      </c>
      <c r="T15" s="7" t="inlineStr">
        <is>
          <t>Excellent</t>
        </is>
      </c>
      <c r="U15" s="7" t="inlineStr">
        <is>
          <t>✅ Excellent profit margins (&gt;20%); ✅ Outstanding return on equity (&gt;25%); ✅ Strong free cash flow generation</t>
        </is>
      </c>
      <c r="V15" s="28" t="n">
        <v>46001.19131135051</v>
      </c>
    </row>
    <row r="16">
      <c r="A16" s="7" t="n">
        <v>31</v>
      </c>
      <c r="B16" s="7" t="inlineStr">
        <is>
          <t>AVGO</t>
        </is>
      </c>
      <c r="C16" s="7" t="inlineStr">
        <is>
          <t>Broadcom Inc.</t>
        </is>
      </c>
      <c r="D16" s="7" t="n">
        <v>2022</v>
      </c>
      <c r="E16" s="7" t="n">
        <v>2.623936471922859</v>
      </c>
      <c r="F16" s="7" t="n">
        <v>2.623936471922859</v>
      </c>
      <c r="G16" s="7" t="n"/>
      <c r="H16" s="7" t="n">
        <v>0.6654519169954523</v>
      </c>
      <c r="I16" s="7" t="n">
        <v>0.4301418546516881</v>
      </c>
      <c r="J16" s="7" t="n">
        <v>0.3462036562961178</v>
      </c>
      <c r="K16" s="7" t="n">
        <v>0.5061869743273592</v>
      </c>
      <c r="L16" s="7" t="n">
        <v>0.1569304700405466</v>
      </c>
      <c r="M16" s="7" t="n">
        <v>1.740059007441983</v>
      </c>
      <c r="N16" s="7" t="n">
        <v>0.5394612895739191</v>
      </c>
      <c r="O16" s="7" t="n"/>
      <c r="P16" s="7" t="n">
        <v>0.4532894647025898</v>
      </c>
      <c r="Q16" s="7" t="n">
        <v>2.373227453204765</v>
      </c>
      <c r="R16" s="7" t="n">
        <v>0.4912809083516549</v>
      </c>
      <c r="S16" s="7" t="n">
        <v>85.56</v>
      </c>
      <c r="T16" s="7" t="inlineStr">
        <is>
          <t>Excellent</t>
        </is>
      </c>
      <c r="U16" s="7" t="inlineStr">
        <is>
          <t>✅ Excellent profit margins (&gt;20%); ✅ Outstanding return on equity (&gt;25%); ✅ Strong free cash flow generation</t>
        </is>
      </c>
      <c r="V16" s="28" t="n">
        <v>46001.19131135051</v>
      </c>
    </row>
    <row r="17">
      <c r="A17" s="7" t="n">
        <v>32</v>
      </c>
      <c r="B17" s="7" t="inlineStr">
        <is>
          <t>AVGO</t>
        </is>
      </c>
      <c r="C17" s="7" t="inlineStr">
        <is>
          <t>Broadcom Inc.</t>
        </is>
      </c>
      <c r="D17" s="7" t="n">
        <v>2021</v>
      </c>
      <c r="E17" s="7" t="n">
        <v>2.640662314918007</v>
      </c>
      <c r="F17" s="7" t="n">
        <v>2.640662314918007</v>
      </c>
      <c r="G17" s="7" t="n"/>
      <c r="H17" s="7" t="n">
        <v>0.6136247723132969</v>
      </c>
      <c r="I17" s="7" t="n">
        <v>0.3157377049180328</v>
      </c>
      <c r="J17" s="7" t="n">
        <v>0.2453916211293261</v>
      </c>
      <c r="K17" s="7" t="n">
        <v>0.2695586057865461</v>
      </c>
      <c r="L17" s="7" t="n">
        <v>0.08913590048961229</v>
      </c>
      <c r="M17" s="7" t="n">
        <v>1.589899555804554</v>
      </c>
      <c r="N17" s="7" t="n">
        <v>0.5257377266110891</v>
      </c>
      <c r="O17" s="7" t="n"/>
      <c r="P17" s="7" t="n">
        <v>0.3632393807066296</v>
      </c>
      <c r="Q17" s="7" t="n">
        <v>2.191370800827894</v>
      </c>
      <c r="R17" s="7" t="n">
        <v>0.4852823315118397</v>
      </c>
      <c r="S17" s="7" t="n">
        <v>85.56</v>
      </c>
      <c r="T17" s="7" t="inlineStr">
        <is>
          <t>Excellent</t>
        </is>
      </c>
      <c r="U17" s="7" t="inlineStr">
        <is>
          <t>✅ Excellent profit margins (&gt;20%); ✅ Outstanding return on equity (&gt;25%); ✅ Strong free cash flow generation</t>
        </is>
      </c>
      <c r="V17" s="28" t="n">
        <v>46001.19131135051</v>
      </c>
    </row>
    <row r="18">
      <c r="A18" s="7" t="n">
        <v>9</v>
      </c>
      <c r="B18" s="7" t="inlineStr">
        <is>
          <t>GOOGL</t>
        </is>
      </c>
      <c r="C18" s="7" t="inlineStr">
        <is>
          <t>Alphabet Inc.</t>
        </is>
      </c>
      <c r="D18" s="7" t="n">
        <v>2024</v>
      </c>
      <c r="E18" s="7" t="n">
        <v>1.836931397410291</v>
      </c>
      <c r="F18" s="7" t="n">
        <v>1.836931397410291</v>
      </c>
      <c r="G18" s="7" t="n"/>
      <c r="H18" s="7" t="n">
        <v>0.5820043540617911</v>
      </c>
      <c r="I18" s="7" t="n">
        <v>0.321097772114577</v>
      </c>
      <c r="J18" s="7" t="n">
        <v>0.28603671811164</v>
      </c>
      <c r="K18" s="7" t="n">
        <v>0.3079757847202569</v>
      </c>
      <c r="L18" s="7" t="n">
        <v>0.2223579474787676</v>
      </c>
      <c r="M18" s="7" t="n">
        <v>0.07832129541903016</v>
      </c>
      <c r="N18" s="7" t="n">
        <v>0.05654783056749938</v>
      </c>
      <c r="O18" s="7" t="n"/>
      <c r="P18" s="7" t="n">
        <v>0.7773755374720159</v>
      </c>
      <c r="Q18" s="7" t="n">
        <v>1.405926707210341</v>
      </c>
      <c r="R18" s="7" t="n">
        <v>0.2078864515539201</v>
      </c>
      <c r="S18" s="7" t="n">
        <v>97.78</v>
      </c>
      <c r="T18" s="7" t="inlineStr">
        <is>
          <t>Excellent</t>
        </is>
      </c>
      <c r="U18" s="7" t="inlineStr">
        <is>
          <t>✅ Conservative debt levels; ✅ Excellent profit margins (&gt;20%); ✅ Outstanding return on equity (&gt;25%); ✅ Strong free cash flow generation</t>
        </is>
      </c>
      <c r="V18" s="28" t="n">
        <v>46001.19131105296</v>
      </c>
    </row>
    <row r="19">
      <c r="A19" s="7" t="n">
        <v>10</v>
      </c>
      <c r="B19" s="7" t="inlineStr">
        <is>
          <t>GOOGL</t>
        </is>
      </c>
      <c r="C19" s="7" t="inlineStr">
        <is>
          <t>Alphabet Inc.</t>
        </is>
      </c>
      <c r="D19" s="7" t="n">
        <v>2023</v>
      </c>
      <c r="E19" s="7" t="n">
        <v>2.096584936563424</v>
      </c>
      <c r="F19" s="7" t="n">
        <v>2.096584936563424</v>
      </c>
      <c r="G19" s="7" t="n"/>
      <c r="H19" s="7" t="n">
        <v>0.566250479840205</v>
      </c>
      <c r="I19" s="7" t="n">
        <v>0.2742181044522665</v>
      </c>
      <c r="J19" s="7" t="n">
        <v>0.2400664944663852</v>
      </c>
      <c r="K19" s="7" t="n">
        <v>0.2604109690555758</v>
      </c>
      <c r="L19" s="7" t="n">
        <v>0.1833908228791825</v>
      </c>
      <c r="M19" s="7" t="n">
        <v>0.09570575095543424</v>
      </c>
      <c r="N19" s="7" t="n">
        <v>0.06739945128133761</v>
      </c>
      <c r="O19" s="7" t="n"/>
      <c r="P19" s="7" t="n">
        <v>0.7639167776695361</v>
      </c>
      <c r="Q19" s="7" t="n">
        <v>1.243625785317916</v>
      </c>
      <c r="R19" s="7" t="n">
        <v>0.2260779325556127</v>
      </c>
      <c r="S19" s="7" t="n">
        <v>100</v>
      </c>
      <c r="T19" s="7" t="inlineStr">
        <is>
          <t>Excellent</t>
        </is>
      </c>
      <c r="U19" s="7" t="inlineStr">
        <is>
          <t>✅ Conservative debt levels; ✅ Excellent profit margins (&gt;20%); ✅ Outstanding return on equity (&gt;25%); ✅ Strong free cash flow generation</t>
        </is>
      </c>
      <c r="V19" s="28" t="n">
        <v>46001.19131105296</v>
      </c>
    </row>
    <row r="20">
      <c r="A20" s="7" t="n">
        <v>11</v>
      </c>
      <c r="B20" s="7" t="inlineStr">
        <is>
          <t>GOOGL</t>
        </is>
      </c>
      <c r="C20" s="7" t="inlineStr">
        <is>
          <t>Alphabet Inc.</t>
        </is>
      </c>
      <c r="D20" s="7" t="n">
        <v>2022</v>
      </c>
      <c r="E20" s="7" t="n">
        <v>2.377994227994228</v>
      </c>
      <c r="F20" s="7" t="n">
        <v>2.377994227994228</v>
      </c>
      <c r="G20" s="7" t="n"/>
      <c r="H20" s="7" t="n">
        <v>0.5537944250378312</v>
      </c>
      <c r="I20" s="7" t="n">
        <v>0.2646127084246701</v>
      </c>
      <c r="J20" s="7" t="n">
        <v>0.2120380715326196</v>
      </c>
      <c r="K20" s="7" t="n">
        <v>0.2341339246673746</v>
      </c>
      <c r="L20" s="7" t="n">
        <v>0.1641880940908494</v>
      </c>
      <c r="M20" s="7" t="n">
        <v>0.1158684177650072</v>
      </c>
      <c r="N20" s="7" t="n">
        <v>0.08125355906960445</v>
      </c>
      <c r="O20" s="7" t="n"/>
      <c r="P20" s="7" t="n">
        <v>0.7743330851110429</v>
      </c>
      <c r="Q20" s="7" t="n">
        <v>1.32027417027417</v>
      </c>
      <c r="R20" s="7" t="n">
        <v>0.2121724250095462</v>
      </c>
      <c r="S20" s="7" t="n">
        <v>100</v>
      </c>
      <c r="T20" s="7" t="inlineStr">
        <is>
          <t>Excellent</t>
        </is>
      </c>
      <c r="U20" s="7" t="inlineStr">
        <is>
          <t>✅ Conservative debt levels; ✅ Excellent profit margins (&gt;20%); ✅ Strong free cash flow generation</t>
        </is>
      </c>
      <c r="V20" s="28" t="n">
        <v>46001.19131105296</v>
      </c>
    </row>
    <row r="21">
      <c r="A21" s="7" t="n">
        <v>12</v>
      </c>
      <c r="B21" s="7" t="inlineStr">
        <is>
          <t>GOOGL</t>
        </is>
      </c>
      <c r="C21" s="7" t="inlineStr">
        <is>
          <t>Alphabet Inc.</t>
        </is>
      </c>
      <c r="D21" s="7" t="n">
        <v>2021</v>
      </c>
      <c r="E21" s="7" t="n">
        <v>2.928113424845146</v>
      </c>
      <c r="F21" s="7" t="n">
        <v>2.928113424845146</v>
      </c>
      <c r="G21" s="7" t="n"/>
      <c r="H21" s="7" t="n">
        <v>0.5693980290098084</v>
      </c>
      <c r="I21" s="7" t="n">
        <v>0.3055228868524319</v>
      </c>
      <c r="J21" s="7" t="n">
        <v>0.2951167728237792</v>
      </c>
      <c r="K21" s="7" t="n">
        <v>0.30215590041131</v>
      </c>
      <c r="L21" s="7" t="n">
        <v>0.2116330984112139</v>
      </c>
      <c r="M21" s="7" t="n">
        <v>0.1128420132334532</v>
      </c>
      <c r="N21" s="7" t="n">
        <v>0.07903570593540199</v>
      </c>
      <c r="O21" s="7" t="n"/>
      <c r="P21" s="7" t="n">
        <v>0.7171164701559838</v>
      </c>
      <c r="Q21" s="7" t="n">
        <v>1.426401469169235</v>
      </c>
      <c r="R21" s="7" t="n">
        <v>0.2601023921253547</v>
      </c>
      <c r="S21" s="7" t="n">
        <v>100</v>
      </c>
      <c r="T21" s="7" t="inlineStr">
        <is>
          <t>Excellent</t>
        </is>
      </c>
      <c r="U21" s="7" t="inlineStr">
        <is>
          <t>✅ Conservative debt levels; ✅ Excellent profit margins (&gt;20%); ✅ Outstanding return on equity (&gt;25%); ✅ Strong free cash flow generation</t>
        </is>
      </c>
      <c r="V21" s="28" t="n">
        <v>46001.19131105296</v>
      </c>
    </row>
    <row r="22">
      <c r="A22" s="7" t="n">
        <v>21</v>
      </c>
      <c r="B22" s="7" t="inlineStr">
        <is>
          <t>META</t>
        </is>
      </c>
      <c r="C22" s="7" t="inlineStr">
        <is>
          <t>Meta Platforms Inc.</t>
        </is>
      </c>
      <c r="D22" s="7" t="n">
        <v>2024</v>
      </c>
      <c r="E22" s="7" t="n">
        <v>2.977884271937135</v>
      </c>
      <c r="F22" s="7" t="n">
        <v>2.977884271937135</v>
      </c>
      <c r="G22" s="7" t="n"/>
      <c r="H22" s="7" t="n">
        <v>0.8166515705071702</v>
      </c>
      <c r="I22" s="7" t="n">
        <v>0.421760354040401</v>
      </c>
      <c r="J22" s="7" t="n">
        <v>0.3790858414234564</v>
      </c>
      <c r="K22" s="7" t="n">
        <v>0.3414423145364849</v>
      </c>
      <c r="L22" s="7" t="n">
        <v>0.2258978315836757</v>
      </c>
      <c r="M22" s="7" t="n">
        <v>0.2686202686202686</v>
      </c>
      <c r="N22" s="7" t="n">
        <v>0.1777188521086454</v>
      </c>
      <c r="O22" s="7" t="n"/>
      <c r="P22" s="7" t="n">
        <v>0.5959015265129286</v>
      </c>
      <c r="Q22" s="7" t="n">
        <v>2.718418859388022</v>
      </c>
      <c r="R22" s="7" t="n">
        <v>0.3287031689776962</v>
      </c>
      <c r="S22" s="7" t="n">
        <v>100</v>
      </c>
      <c r="T22" s="7" t="inlineStr">
        <is>
          <t>Excellent</t>
        </is>
      </c>
      <c r="U22" s="7" t="inlineStr">
        <is>
          <t>✅ Conservative debt levels; ✅ Excellent profit margins (&gt;20%); ✅ Outstanding return on equity (&gt;25%); ✅ Strong free cash flow generation</t>
        </is>
      </c>
      <c r="V22" s="28" t="n">
        <v>46001.19131123118</v>
      </c>
    </row>
    <row r="23">
      <c r="A23" s="7" t="n">
        <v>22</v>
      </c>
      <c r="B23" s="7" t="inlineStr">
        <is>
          <t>META</t>
        </is>
      </c>
      <c r="C23" s="7" t="inlineStr">
        <is>
          <t>Meta Platforms Inc.</t>
        </is>
      </c>
      <c r="D23" s="7" t="n">
        <v>2023</v>
      </c>
      <c r="E23" s="7" t="n">
        <v>2.670994993742178</v>
      </c>
      <c r="F23" s="7" t="n">
        <v>2.670994993742178</v>
      </c>
      <c r="G23" s="7" t="n"/>
      <c r="H23" s="7" t="n">
        <v>0.8075714222176098</v>
      </c>
      <c r="I23" s="7" t="n">
        <v>0.3465552771641636</v>
      </c>
      <c r="J23" s="7" t="n">
        <v>0.2898252064461609</v>
      </c>
      <c r="K23" s="7" t="n">
        <v>0.2552621957589052</v>
      </c>
      <c r="L23" s="7" t="n">
        <v>0.1702703997421861</v>
      </c>
      <c r="M23" s="7" t="n">
        <v>0.2430925519690797</v>
      </c>
      <c r="N23" s="7" t="n">
        <v>0.1621527460228287</v>
      </c>
      <c r="O23" s="7" t="n"/>
      <c r="P23" s="7" t="n">
        <v>0.5874934131162819</v>
      </c>
      <c r="Q23" s="7" t="n">
        <v>2.225062578222778</v>
      </c>
      <c r="R23" s="7" t="n">
        <v>0.3266667655038472</v>
      </c>
      <c r="S23" s="7" t="n">
        <v>100</v>
      </c>
      <c r="T23" s="7" t="inlineStr">
        <is>
          <t>Excellent</t>
        </is>
      </c>
      <c r="U23" s="7" t="inlineStr">
        <is>
          <t>✅ Conservative debt levels; ✅ Excellent profit margins (&gt;20%); ✅ Outstanding return on equity (&gt;25%); ✅ Strong free cash flow generation</t>
        </is>
      </c>
      <c r="V23" s="28" t="n">
        <v>46001.19131123118</v>
      </c>
    </row>
    <row r="24">
      <c r="A24" s="7" t="n">
        <v>23</v>
      </c>
      <c r="B24" s="7" t="inlineStr">
        <is>
          <t>META</t>
        </is>
      </c>
      <c r="C24" s="7" t="inlineStr">
        <is>
          <t>Meta Platforms Inc.</t>
        </is>
      </c>
      <c r="D24" s="7" t="n">
        <v>2022</v>
      </c>
      <c r="E24" s="7" t="n">
        <v>2.203396729075705</v>
      </c>
      <c r="F24" s="7" t="n">
        <v>2.203396729075705</v>
      </c>
      <c r="G24" s="7" t="n"/>
      <c r="H24" s="7" t="n">
        <v>0.7834729737841848</v>
      </c>
      <c r="I24" s="7" t="n">
        <v>0.248214117263676</v>
      </c>
      <c r="J24" s="7" t="n">
        <v>0.1989554837105198</v>
      </c>
      <c r="K24" s="7" t="n">
        <v>0.1845473419614519</v>
      </c>
      <c r="L24" s="7" t="n">
        <v>0.1249145250825136</v>
      </c>
      <c r="M24" s="7" t="n">
        <v>0.2115214814696968</v>
      </c>
      <c r="N24" s="7" t="n">
        <v>0.1431725058822896</v>
      </c>
      <c r="O24" s="7" t="n"/>
      <c r="P24" s="7" t="n">
        <v>0.6278516316959839</v>
      </c>
      <c r="Q24" s="7" t="n">
        <v>1.867645970546881</v>
      </c>
      <c r="R24" s="7" t="n">
        <v>0.1654160485039748</v>
      </c>
      <c r="S24" s="7" t="n">
        <v>93.33</v>
      </c>
      <c r="T24" s="7" t="inlineStr">
        <is>
          <t>Excellent</t>
        </is>
      </c>
      <c r="U24" s="7" t="inlineStr">
        <is>
          <t>✅ Conservative debt levels; ✅ Strong free cash flow generation</t>
        </is>
      </c>
      <c r="V24" s="28" t="n">
        <v>46001.19131123118</v>
      </c>
    </row>
    <row r="25">
      <c r="A25" s="7" t="n">
        <v>24</v>
      </c>
      <c r="B25" s="7" t="inlineStr">
        <is>
          <t>META</t>
        </is>
      </c>
      <c r="C25" s="7" t="inlineStr">
        <is>
          <t>Meta Platforms Inc.</t>
        </is>
      </c>
      <c r="D25" s="7" t="n">
        <v>2021</v>
      </c>
      <c r="E25" s="7" t="n">
        <v>3.154293825408091</v>
      </c>
      <c r="F25" s="7" t="n">
        <v>3.154293825408091</v>
      </c>
      <c r="G25" s="7" t="n"/>
      <c r="H25" s="7" t="n">
        <v>0.8079437627725157</v>
      </c>
      <c r="I25" s="7" t="n">
        <v>0.3964504066005817</v>
      </c>
      <c r="J25" s="7" t="n">
        <v>0.3338449405998525</v>
      </c>
      <c r="K25" s="7" t="n">
        <v>0.3152651766910369</v>
      </c>
      <c r="L25" s="7" t="n">
        <v>0.2371872496038847</v>
      </c>
      <c r="M25" s="7" t="n">
        <v>0.111091536607436</v>
      </c>
      <c r="N25" s="7" t="n">
        <v>0.08357883448703814</v>
      </c>
      <c r="O25" s="7" t="n"/>
      <c r="P25" s="7" t="n">
        <v>0.7104713019694313</v>
      </c>
      <c r="Q25" s="7" t="n">
        <v>2.72926425360776</v>
      </c>
      <c r="R25" s="7" t="n">
        <v>0.3306481018239789</v>
      </c>
      <c r="S25" s="7" t="n">
        <v>100</v>
      </c>
      <c r="T25" s="7" t="inlineStr">
        <is>
          <t>Excellent</t>
        </is>
      </c>
      <c r="U25" s="7" t="inlineStr">
        <is>
          <t>💡 High liquidity - may have idle assets; ✅ Conservative debt levels; ✅ Excellent profit margins (&gt;20%); ✅ Outstanding return on equity (&gt;25%); ✅ Strong free cash flow generation</t>
        </is>
      </c>
      <c r="V25" s="28" t="n">
        <v>46001.19131123118</v>
      </c>
    </row>
    <row r="26">
      <c r="A26" s="7" t="n">
        <v>5</v>
      </c>
      <c r="B26" s="7" t="inlineStr">
        <is>
          <t>MSFT</t>
        </is>
      </c>
      <c r="C26" s="7" t="inlineStr">
        <is>
          <t>Microsoft Corporation</t>
        </is>
      </c>
      <c r="D26" s="7" t="n">
        <v>2025</v>
      </c>
      <c r="E26" s="7" t="n">
        <v>1.353446444504242</v>
      </c>
      <c r="F26" s="7" t="n">
        <v>1.353446444504242</v>
      </c>
      <c r="G26" s="7" t="n"/>
      <c r="H26" s="7" t="n">
        <v>0.6882374238616519</v>
      </c>
      <c r="I26" s="7" t="n">
        <v>0.4562195624085985</v>
      </c>
      <c r="J26" s="7" t="n">
        <v>0.3614601524896707</v>
      </c>
      <c r="K26" s="7" t="n">
        <v>0.2964722734140952</v>
      </c>
      <c r="L26" s="7" t="n">
        <v>0.1645097035070912</v>
      </c>
      <c r="M26" s="7" t="n">
        <v>0.1763950634536609</v>
      </c>
      <c r="N26" s="7" t="n">
        <v>0.0978799779645656</v>
      </c>
      <c r="O26" s="7" t="n"/>
      <c r="P26" s="7" t="n">
        <v>0.4551254194244616</v>
      </c>
      <c r="Q26" s="7" t="n">
        <v>0.9641971986573949</v>
      </c>
      <c r="R26" s="7" t="n">
        <v>0.2541884965427156</v>
      </c>
      <c r="S26" s="7" t="n">
        <v>88.89</v>
      </c>
      <c r="T26" s="7" t="inlineStr">
        <is>
          <t>Excellent</t>
        </is>
      </c>
      <c r="U26" s="7" t="inlineStr">
        <is>
          <t>✅ Conservative debt levels; ✅ Excellent profit margins (&gt;20%); ✅ Outstanding return on equity (&gt;25%); ✅ Strong free cash flow generation</t>
        </is>
      </c>
      <c r="V26" s="28" t="n">
        <v>46001.1913109952</v>
      </c>
    </row>
    <row r="27">
      <c r="A27" s="7" t="n">
        <v>6</v>
      </c>
      <c r="B27" s="7" t="inlineStr">
        <is>
          <t>MSFT</t>
        </is>
      </c>
      <c r="C27" s="7" t="inlineStr">
        <is>
          <t>Microsoft Corporation</t>
        </is>
      </c>
      <c r="D27" s="7" t="n">
        <v>2024</v>
      </c>
      <c r="E27" s="7" t="n">
        <v>1.274954903181521</v>
      </c>
      <c r="F27" s="7" t="n">
        <v>1.274954903181521</v>
      </c>
      <c r="G27" s="7" t="n"/>
      <c r="H27" s="7" t="n">
        <v>0.6976444382797138</v>
      </c>
      <c r="I27" s="7" t="n">
        <v>0.4464429957327372</v>
      </c>
      <c r="J27" s="7" t="n">
        <v>0.3595597294408499</v>
      </c>
      <c r="K27" s="7" t="n">
        <v>0.3282813797829982</v>
      </c>
      <c r="L27" s="7" t="n">
        <v>0.172085839859576</v>
      </c>
      <c r="M27" s="7" t="n">
        <v>0.2500288665323286</v>
      </c>
      <c r="N27" s="7" t="n">
        <v>0.1310656958819751</v>
      </c>
      <c r="O27" s="7" t="n"/>
      <c r="P27" s="7" t="n">
        <v>0.4786015389631816</v>
      </c>
      <c r="Q27" s="7" t="n">
        <v>0.9462190508117427</v>
      </c>
      <c r="R27" s="7" t="n">
        <v>0.3021801388696241</v>
      </c>
      <c r="S27" s="7" t="n">
        <v>88.89</v>
      </c>
      <c r="T27" s="7" t="inlineStr">
        <is>
          <t>Excellent</t>
        </is>
      </c>
      <c r="U27" s="7" t="inlineStr">
        <is>
          <t>✅ Conservative debt levels; ✅ Excellent profit margins (&gt;20%); ✅ Outstanding return on equity (&gt;25%); ✅ Strong free cash flow generation</t>
        </is>
      </c>
      <c r="V27" s="28" t="n">
        <v>46001.1913109952</v>
      </c>
    </row>
    <row r="28">
      <c r="A28" s="7" t="n">
        <v>7</v>
      </c>
      <c r="B28" s="7" t="inlineStr">
        <is>
          <t>MSFT</t>
        </is>
      </c>
      <c r="C28" s="7" t="inlineStr">
        <is>
          <t>Microsoft Corporation</t>
        </is>
      </c>
      <c r="D28" s="7" t="n">
        <v>2023</v>
      </c>
      <c r="E28" s="7" t="n">
        <v>1.76916725076573</v>
      </c>
      <c r="F28" s="7" t="n">
        <v>1.76916725076573</v>
      </c>
      <c r="G28" s="7" t="n"/>
      <c r="H28" s="7" t="n">
        <v>0.6892008588349102</v>
      </c>
      <c r="I28" s="7" t="n">
        <v>0.417728806361041</v>
      </c>
      <c r="J28" s="7" t="n">
        <v>0.3414623787839464</v>
      </c>
      <c r="K28" s="7" t="n">
        <v>0.3508871464385641</v>
      </c>
      <c r="L28" s="7" t="n">
        <v>0.175643726819038</v>
      </c>
      <c r="M28" s="7" t="n">
        <v>0.2907774593522546</v>
      </c>
      <c r="N28" s="7" t="n">
        <v>0.145554595413325</v>
      </c>
      <c r="O28" s="7" t="n"/>
      <c r="P28" s="7" t="n">
        <v>0.5143867603938094</v>
      </c>
      <c r="Q28" s="7" t="n">
        <v>0.84092982169776</v>
      </c>
      <c r="R28" s="7" t="n">
        <v>0.2806549795908737</v>
      </c>
      <c r="S28" s="7" t="n">
        <v>92.22</v>
      </c>
      <c r="T28" s="7" t="inlineStr">
        <is>
          <t>Excellent</t>
        </is>
      </c>
      <c r="U28" s="7" t="inlineStr">
        <is>
          <t>✅ Conservative debt levels; ✅ Excellent profit margins (&gt;20%); ✅ Outstanding return on equity (&gt;25%); ✅ Strong free cash flow generation</t>
        </is>
      </c>
      <c r="V28" s="28" t="n">
        <v>46001.1913109952</v>
      </c>
    </row>
    <row r="29">
      <c r="A29" s="7" t="n">
        <v>8</v>
      </c>
      <c r="B29" s="7" t="inlineStr">
        <is>
          <t>MSFT</t>
        </is>
      </c>
      <c r="C29" s="7" t="inlineStr">
        <is>
          <t>Microsoft Corporation</t>
        </is>
      </c>
      <c r="D29" s="7" t="n">
        <v>2022</v>
      </c>
      <c r="E29" s="7" t="n">
        <v>1.784606970825182</v>
      </c>
      <c r="F29" s="7" t="n">
        <v>1.784606970825182</v>
      </c>
      <c r="G29" s="7" t="n"/>
      <c r="H29" s="7" t="n">
        <v>0.684016744842891</v>
      </c>
      <c r="I29" s="7" t="n">
        <v>0.4205527815604983</v>
      </c>
      <c r="J29" s="7" t="n">
        <v>0.3668633681343622</v>
      </c>
      <c r="K29" s="7" t="n">
        <v>0.4367546925099975</v>
      </c>
      <c r="L29" s="7" t="n">
        <v>0.1993695866681285</v>
      </c>
      <c r="M29" s="7" t="n">
        <v>0.3678951855988279</v>
      </c>
      <c r="N29" s="7" t="n">
        <v>0.1679366297555093</v>
      </c>
      <c r="O29" s="7" t="n"/>
      <c r="P29" s="7" t="n">
        <v>0.5434437013485364</v>
      </c>
      <c r="Q29" s="7" t="n">
        <v>0.9364022633095643</v>
      </c>
      <c r="R29" s="7" t="n">
        <v>0.3285872799717557</v>
      </c>
      <c r="S29" s="7" t="n">
        <v>92.22</v>
      </c>
      <c r="T29" s="7" t="inlineStr">
        <is>
          <t>Excellent</t>
        </is>
      </c>
      <c r="U29" s="7" t="inlineStr">
        <is>
          <t>✅ Excellent profit margins (&gt;20%); ✅ Outstanding return on equity (&gt;25%); ✅ Strong free cash flow generation</t>
        </is>
      </c>
      <c r="V29" s="28" t="n">
        <v>46001.1913109952</v>
      </c>
    </row>
    <row r="30">
      <c r="A30" s="7" t="n">
        <v>37</v>
      </c>
      <c r="B30" s="7" t="inlineStr">
        <is>
          <t>NFLX</t>
        </is>
      </c>
      <c r="C30" s="7" t="inlineStr">
        <is>
          <t>Netflix Inc.</t>
        </is>
      </c>
      <c r="D30" s="7" t="n">
        <v>2024</v>
      </c>
      <c r="E30" s="7" t="n">
        <v>1.218028060323187</v>
      </c>
      <c r="F30" s="7" t="n">
        <v>1.218028060323187</v>
      </c>
      <c r="G30" s="7" t="n"/>
      <c r="H30" s="7" t="n">
        <v>0.4605655665041732</v>
      </c>
      <c r="I30" s="7" t="n">
        <v>0.2671116915411788</v>
      </c>
      <c r="J30" s="7" t="n">
        <v>0.2233696211524607</v>
      </c>
      <c r="K30" s="7" t="n">
        <v>0.3520766023750739</v>
      </c>
      <c r="L30" s="7" t="n">
        <v>0.1624383786695204</v>
      </c>
      <c r="M30" s="7" t="n">
        <v>0.6297719322359626</v>
      </c>
      <c r="N30" s="7" t="n">
        <v>0.2905593013392</v>
      </c>
      <c r="O30" s="7" t="n"/>
      <c r="P30" s="7" t="n">
        <v>0.7272178635189082</v>
      </c>
      <c r="Q30" s="7" t="n">
        <v>0.6844342376852558</v>
      </c>
      <c r="R30" s="7" t="n">
        <v>0.1774783219472051</v>
      </c>
      <c r="S30" s="7" t="n">
        <v>85.56</v>
      </c>
      <c r="T30" s="7" t="inlineStr">
        <is>
          <t>Excellent</t>
        </is>
      </c>
      <c r="U30" s="7" t="inlineStr">
        <is>
          <t>✅ Excellent profit margins (&gt;20%); ✅ Outstanding return on equity (&gt;25%); ✅ Strong free cash flow generation</t>
        </is>
      </c>
      <c r="V30" s="28" t="n">
        <v>46001.19131144961</v>
      </c>
    </row>
    <row r="31">
      <c r="A31" s="7" t="n">
        <v>38</v>
      </c>
      <c r="B31" s="7" t="inlineStr">
        <is>
          <t>NFLX</t>
        </is>
      </c>
      <c r="C31" s="7" t="inlineStr">
        <is>
          <t>Netflix Inc.</t>
        </is>
      </c>
      <c r="D31" s="7" t="n">
        <v>2023</v>
      </c>
      <c r="E31" s="7" t="n">
        <v>1.119345353136986</v>
      </c>
      <c r="F31" s="7" t="n">
        <v>1.119345353136986</v>
      </c>
      <c r="G31" s="7" t="n"/>
      <c r="H31" s="7" t="n">
        <v>0.4153783955346952</v>
      </c>
      <c r="I31" s="7" t="n">
        <v>0.2062076848535895</v>
      </c>
      <c r="J31" s="7" t="n">
        <v>0.1603636204372307</v>
      </c>
      <c r="K31" s="7" t="n">
        <v>0.262672808597771</v>
      </c>
      <c r="L31" s="7" t="n">
        <v>0.1109741214765036</v>
      </c>
      <c r="M31" s="7" t="n">
        <v>0.7063842967609828</v>
      </c>
      <c r="N31" s="7" t="n">
        <v>0.2984335423842309</v>
      </c>
      <c r="O31" s="7" t="n"/>
      <c r="P31" s="7" t="n">
        <v>0.6920155654626226</v>
      </c>
      <c r="Q31" s="7" t="n">
        <v>0.8209665086836131</v>
      </c>
      <c r="R31" s="7" t="n">
        <v>0.2053698664160862</v>
      </c>
      <c r="S31" s="7" t="n">
        <v>82.22</v>
      </c>
      <c r="T31" s="7" t="inlineStr">
        <is>
          <t>Excellent</t>
        </is>
      </c>
      <c r="U31" s="7" t="inlineStr">
        <is>
          <t>✅ Outstanding return on equity (&gt;25%); ✅ Strong free cash flow generation</t>
        </is>
      </c>
      <c r="V31" s="28" t="n">
        <v>46001.19131144961</v>
      </c>
    </row>
    <row r="32">
      <c r="A32" s="7" t="n">
        <v>39</v>
      </c>
      <c r="B32" s="7" t="inlineStr">
        <is>
          <t>NFLX</t>
        </is>
      </c>
      <c r="C32" s="7" t="inlineStr">
        <is>
          <t>Netflix Inc.</t>
        </is>
      </c>
      <c r="D32" s="7" t="n">
        <v>2022</v>
      </c>
      <c r="E32" s="7" t="n">
        <v>1.168390288506809</v>
      </c>
      <c r="F32" s="7" t="n">
        <v>1.168390288506809</v>
      </c>
      <c r="G32" s="7" t="n"/>
      <c r="H32" s="7" t="n">
        <v>0.3937070523840325</v>
      </c>
      <c r="I32" s="7" t="n">
        <v>0.1781664718785534</v>
      </c>
      <c r="J32" s="7" t="n">
        <v>0.1420795779292152</v>
      </c>
      <c r="K32" s="7" t="n">
        <v>0.2161927759877186</v>
      </c>
      <c r="L32" s="7" t="n">
        <v>0.09243637092783322</v>
      </c>
      <c r="M32" s="7" t="n">
        <v>0.6908022808049957</v>
      </c>
      <c r="N32" s="7" t="n">
        <v>0.2953625789508862</v>
      </c>
      <c r="O32" s="7" t="n"/>
      <c r="P32" s="7" t="n">
        <v>0.6505957596093472</v>
      </c>
      <c r="Q32" s="7" t="n">
        <v>0.2554865266233378</v>
      </c>
      <c r="R32" s="7" t="n">
        <v>0.05119404849828645</v>
      </c>
      <c r="S32" s="7" t="n">
        <v>70</v>
      </c>
      <c r="T32" s="7" t="inlineStr">
        <is>
          <t>Good</t>
        </is>
      </c>
      <c r="U32" s="7" t="inlineStr">
        <is>
          <t>No significant concerns identified.</t>
        </is>
      </c>
      <c r="V32" s="28" t="n">
        <v>46001.19131144961</v>
      </c>
    </row>
    <row r="33">
      <c r="A33" s="7" t="n">
        <v>40</v>
      </c>
      <c r="B33" s="7" t="inlineStr">
        <is>
          <t>NFLX</t>
        </is>
      </c>
      <c r="C33" s="7" t="inlineStr">
        <is>
          <t>Netflix Inc.</t>
        </is>
      </c>
      <c r="D33" s="7" t="n">
        <v>2021</v>
      </c>
      <c r="E33" s="7" t="n">
        <v>0.950625199818211</v>
      </c>
      <c r="F33" s="7" t="n">
        <v>0.950625199818211</v>
      </c>
      <c r="G33" s="7" t="n"/>
      <c r="H33" s="7" t="n">
        <v>0.4163656122646479</v>
      </c>
      <c r="I33" s="7" t="n">
        <v>0.2085844682866541</v>
      </c>
      <c r="J33" s="7" t="n">
        <v>0.1722760749904943</v>
      </c>
      <c r="K33" s="7" t="n">
        <v>0.3228057255460953</v>
      </c>
      <c r="L33" s="7" t="n">
        <v>0.1147530934572725</v>
      </c>
      <c r="M33" s="7" t="n">
        <v>0.9712066465235448</v>
      </c>
      <c r="N33" s="7" t="n">
        <v>0.345250899395606</v>
      </c>
      <c r="O33" s="7" t="n"/>
      <c r="P33" s="7" t="n">
        <v>0.6660999994549696</v>
      </c>
      <c r="Q33" s="7" t="n">
        <v>0.04624944899060734</v>
      </c>
      <c r="R33" s="7" t="n">
        <v>-0.004443925289660758</v>
      </c>
      <c r="S33" s="7" t="n">
        <v>53.33</v>
      </c>
      <c r="T33" s="7" t="inlineStr">
        <is>
          <t>Fair</t>
        </is>
      </c>
      <c r="U33" s="7" t="inlineStr">
        <is>
          <t>⚠️ Low liquidity - current ratio below 1.0; ✅ Outstanding return on equity (&gt;25%); ⚠️ Negative free cash flow</t>
        </is>
      </c>
      <c r="V33" s="28" t="n">
        <v>46001.19131144961</v>
      </c>
    </row>
    <row r="34">
      <c r="A34" s="7" t="n">
        <v>17</v>
      </c>
      <c r="B34" s="7" t="inlineStr">
        <is>
          <t>NVDA</t>
        </is>
      </c>
      <c r="C34" s="7" t="inlineStr">
        <is>
          <t>NVIDIA Corporation</t>
        </is>
      </c>
      <c r="D34" s="7" t="n">
        <v>2025</v>
      </c>
      <c r="E34" s="7" t="n">
        <v>4.439851498864077</v>
      </c>
      <c r="F34" s="7" t="n">
        <v>4.439851498864077</v>
      </c>
      <c r="G34" s="7" t="n"/>
      <c r="H34" s="7" t="n">
        <v>0.7498869705816992</v>
      </c>
      <c r="I34" s="7" t="n">
        <v>0.6241752683969747</v>
      </c>
      <c r="J34" s="7" t="n">
        <v>0.5584802715771244</v>
      </c>
      <c r="K34" s="7" t="n">
        <v>0.9187288060811577</v>
      </c>
      <c r="L34" s="7" t="n">
        <v>0.6530407433625147</v>
      </c>
      <c r="M34" s="7" t="n">
        <v>0.1294641168832806</v>
      </c>
      <c r="N34" s="7" t="n">
        <v>0.09202426501554646</v>
      </c>
      <c r="O34" s="7" t="n"/>
      <c r="P34" s="7" t="n">
        <v>1.169317479234057</v>
      </c>
      <c r="Q34" s="7" t="n">
        <v>3.551227350806228</v>
      </c>
      <c r="R34" s="7" t="n">
        <v>0.4663172333463604</v>
      </c>
      <c r="S34" s="7" t="n">
        <v>100</v>
      </c>
      <c r="T34" s="7" t="inlineStr">
        <is>
          <t>Excellent</t>
        </is>
      </c>
      <c r="U34" s="7" t="inlineStr">
        <is>
          <t>💡 High liquidity - may have idle assets; ✅ Conservative debt levels; ✅ Excellent profit margins (&gt;20%); ✅ Outstanding return on equity (&gt;25%); ✅ Strong free cash flow generation</t>
        </is>
      </c>
      <c r="V34" s="28" t="n">
        <v>46001.1913111823</v>
      </c>
    </row>
    <row r="35">
      <c r="A35" s="7" t="n">
        <v>18</v>
      </c>
      <c r="B35" s="7" t="inlineStr">
        <is>
          <t>NVDA</t>
        </is>
      </c>
      <c r="C35" s="7" t="inlineStr">
        <is>
          <t>NVIDIA Corporation</t>
        </is>
      </c>
      <c r="D35" s="7" t="n">
        <v>2024</v>
      </c>
      <c r="E35" s="7" t="n">
        <v>4.171291505973097</v>
      </c>
      <c r="F35" s="7" t="n">
        <v>4.171291505973097</v>
      </c>
      <c r="G35" s="7" t="n"/>
      <c r="H35" s="7" t="n">
        <v>0.7271757329043695</v>
      </c>
      <c r="I35" s="7" t="n">
        <v>0.5412166376678376</v>
      </c>
      <c r="J35" s="7" t="n">
        <v>0.4884934834706674</v>
      </c>
      <c r="K35" s="7" t="n">
        <v>0.6924472986178976</v>
      </c>
      <c r="L35" s="7" t="n">
        <v>0.4527750730282376</v>
      </c>
      <c r="M35" s="7" t="n">
        <v>0.2572478942714878</v>
      </c>
      <c r="N35" s="7" t="n">
        <v>0.1682083739045764</v>
      </c>
      <c r="O35" s="7" t="n"/>
      <c r="P35" s="7" t="n">
        <v>0.9268804771178188</v>
      </c>
      <c r="Q35" s="7" t="n">
        <v>2.642272599002916</v>
      </c>
      <c r="R35" s="7" t="n">
        <v>0.4435343554052723</v>
      </c>
      <c r="S35" s="7" t="n">
        <v>100</v>
      </c>
      <c r="T35" s="7" t="inlineStr">
        <is>
          <t>Excellent</t>
        </is>
      </c>
      <c r="U35" s="7" t="inlineStr">
        <is>
          <t>💡 High liquidity - may have idle assets; ✅ Conservative debt levels; ✅ Excellent profit margins (&gt;20%); ✅ Outstanding return on equity (&gt;25%); ✅ Strong free cash flow generation</t>
        </is>
      </c>
      <c r="V35" s="28" t="n">
        <v>46001.1913111823</v>
      </c>
    </row>
    <row r="36">
      <c r="A36" s="7" t="n">
        <v>19</v>
      </c>
      <c r="B36" s="7" t="inlineStr">
        <is>
          <t>NVDA</t>
        </is>
      </c>
      <c r="C36" s="7" t="inlineStr">
        <is>
          <t>NVIDIA Corporation</t>
        </is>
      </c>
      <c r="D36" s="7" t="n">
        <v>2023</v>
      </c>
      <c r="E36" s="7" t="n">
        <v>3.515617857687033</v>
      </c>
      <c r="F36" s="7" t="n">
        <v>3.515617857687033</v>
      </c>
      <c r="G36" s="7" t="n"/>
      <c r="H36" s="7" t="n">
        <v>0.5692889449099132</v>
      </c>
      <c r="I36" s="7" t="n">
        <v>0.206754652628457</v>
      </c>
      <c r="J36" s="7" t="n">
        <v>0.1619337139467636</v>
      </c>
      <c r="K36" s="7" t="n">
        <v>0.1976381159223564</v>
      </c>
      <c r="L36" s="7" t="n">
        <v>0.1060657568840756</v>
      </c>
      <c r="M36" s="7" t="n">
        <v>0.5443645083932853</v>
      </c>
      <c r="N36" s="7" t="n">
        <v>0.2921421980476908</v>
      </c>
      <c r="O36" s="7" t="n"/>
      <c r="P36" s="7" t="n">
        <v>0.6549949006847652</v>
      </c>
      <c r="Q36" s="7" t="n">
        <v>0.8595154654883438</v>
      </c>
      <c r="R36" s="7" t="n">
        <v>0.1411729813894862</v>
      </c>
      <c r="S36" s="7" t="n">
        <v>81.11</v>
      </c>
      <c r="T36" s="7" t="inlineStr">
        <is>
          <t>Excellent</t>
        </is>
      </c>
      <c r="U36" s="7" t="inlineStr">
        <is>
          <t>💡 High liquidity - may have idle assets</t>
        </is>
      </c>
      <c r="V36" s="28" t="n">
        <v>46001.1913111823</v>
      </c>
    </row>
    <row r="37">
      <c r="A37" s="7" t="n">
        <v>20</v>
      </c>
      <c r="B37" s="7" t="inlineStr">
        <is>
          <t>NVDA</t>
        </is>
      </c>
      <c r="C37" s="7" t="inlineStr">
        <is>
          <t>NVIDIA Corporation</t>
        </is>
      </c>
      <c r="D37" s="7" t="n">
        <v>2022</v>
      </c>
      <c r="E37" s="7" t="n">
        <v>6.650288350634371</v>
      </c>
      <c r="F37" s="7" t="n">
        <v>6.650288350634371</v>
      </c>
      <c r="G37" s="7" t="n"/>
      <c r="H37" s="7" t="n">
        <v>0.6492903321691313</v>
      </c>
      <c r="I37" s="7" t="n">
        <v>0.3730772088875678</v>
      </c>
      <c r="J37" s="7" t="n">
        <v>0.3623393029649996</v>
      </c>
      <c r="K37" s="7" t="n">
        <v>0.3664512250112731</v>
      </c>
      <c r="L37" s="7" t="n">
        <v>0.220698395455677</v>
      </c>
      <c r="M37" s="7" t="n">
        <v>0.4445738764467158</v>
      </c>
      <c r="N37" s="7" t="n">
        <v>0.2677484327969765</v>
      </c>
      <c r="O37" s="7" t="n"/>
      <c r="P37" s="7" t="n">
        <v>0.6090931721999683</v>
      </c>
      <c r="Q37" s="7" t="n">
        <v>2.101038062283737</v>
      </c>
      <c r="R37" s="7" t="n">
        <v>0.3021475811845136</v>
      </c>
      <c r="S37" s="7" t="n">
        <v>100</v>
      </c>
      <c r="T37" s="7" t="inlineStr">
        <is>
          <t>Excellent</t>
        </is>
      </c>
      <c r="U37" s="7" t="inlineStr">
        <is>
          <t>💡 High liquidity - may have idle assets; ✅ Excellent profit margins (&gt;20%); ✅ Outstanding return on equity (&gt;25%); ✅ Strong free cash flow generation</t>
        </is>
      </c>
      <c r="V37" s="28" t="n">
        <v>46001.1913111823</v>
      </c>
    </row>
    <row r="38">
      <c r="A38" s="7" t="n">
        <v>25</v>
      </c>
      <c r="B38" s="7" t="inlineStr">
        <is>
          <t>TSLA</t>
        </is>
      </c>
      <c r="C38" s="7" t="inlineStr">
        <is>
          <t>Tesla Inc.</t>
        </is>
      </c>
      <c r="D38" s="7" t="n">
        <v>2024</v>
      </c>
      <c r="E38" s="7" t="n">
        <v>2.024912390270983</v>
      </c>
      <c r="F38" s="7" t="n">
        <v>2.024912390270983</v>
      </c>
      <c r="G38" s="7" t="n"/>
      <c r="H38" s="7" t="n">
        <v>0.178626266762207</v>
      </c>
      <c r="I38" s="7" t="n">
        <v>0.07943494728221927</v>
      </c>
      <c r="J38" s="7" t="n">
        <v>0.07298597604667827</v>
      </c>
      <c r="K38" s="7" t="n">
        <v>0.09778777447094482</v>
      </c>
      <c r="L38" s="7" t="n">
        <v>0.05840910952732039</v>
      </c>
      <c r="M38" s="7" t="n">
        <v>0.1868391096237982</v>
      </c>
      <c r="N38" s="7" t="n">
        <v>0.1115999016957483</v>
      </c>
      <c r="O38" s="7" t="n"/>
      <c r="P38" s="7" t="n">
        <v>0.8002785287130335</v>
      </c>
      <c r="Q38" s="7" t="n">
        <v>0.5177821727212796</v>
      </c>
      <c r="R38" s="7" t="n">
        <v>0.03665677141979732</v>
      </c>
      <c r="S38" s="7" t="n">
        <v>65.56</v>
      </c>
      <c r="T38" s="7" t="inlineStr">
        <is>
          <t>Good</t>
        </is>
      </c>
      <c r="U38" s="7" t="inlineStr">
        <is>
          <t>✅ Conservative debt levels</t>
        </is>
      </c>
      <c r="V38" s="28" t="n">
        <v>46001.19131127964</v>
      </c>
    </row>
    <row r="39">
      <c r="A39" s="7" t="n">
        <v>26</v>
      </c>
      <c r="B39" s="7" t="inlineStr">
        <is>
          <t>TSLA</t>
        </is>
      </c>
      <c r="C39" s="7" t="inlineStr">
        <is>
          <t>Tesla Inc.</t>
        </is>
      </c>
      <c r="D39" s="7" t="n">
        <v>2023</v>
      </c>
      <c r="E39" s="7" t="n">
        <v>1.72589397523306</v>
      </c>
      <c r="F39" s="7" t="n">
        <v>1.72589397523306</v>
      </c>
      <c r="G39" s="7" t="n"/>
      <c r="H39" s="7" t="n">
        <v>0.1824889173633142</v>
      </c>
      <c r="I39" s="7" t="n">
        <v>0.09187479978919739</v>
      </c>
      <c r="J39" s="7" t="n">
        <v>0.1549915782294648</v>
      </c>
      <c r="K39" s="7" t="n">
        <v>0.2394705750870134</v>
      </c>
      <c r="L39" s="7" t="n">
        <v>0.140679810163387</v>
      </c>
      <c r="M39" s="7" t="n">
        <v>0.1528403103745569</v>
      </c>
      <c r="N39" s="7" t="n">
        <v>0.08978784070232043</v>
      </c>
      <c r="O39" s="7" t="n"/>
      <c r="P39" s="7" t="n">
        <v>0.9076609953291189</v>
      </c>
      <c r="Q39" s="7" t="n">
        <v>0.4611103381104772</v>
      </c>
      <c r="R39" s="7" t="n">
        <v>0.04502288861562626</v>
      </c>
      <c r="S39" s="7" t="n">
        <v>74.44</v>
      </c>
      <c r="T39" s="7" t="inlineStr">
        <is>
          <t>Good</t>
        </is>
      </c>
      <c r="U39" s="7" t="inlineStr">
        <is>
          <t>✅ Conservative debt levels</t>
        </is>
      </c>
      <c r="V39" s="28" t="n">
        <v>46001.19131127964</v>
      </c>
    </row>
    <row r="40">
      <c r="A40" s="7" t="n">
        <v>27</v>
      </c>
      <c r="B40" s="7" t="inlineStr">
        <is>
          <t>TSLA</t>
        </is>
      </c>
      <c r="C40" s="7" t="inlineStr">
        <is>
          <t>Tesla Inc.</t>
        </is>
      </c>
      <c r="D40" s="7" t="n">
        <v>2022</v>
      </c>
      <c r="E40" s="7" t="n">
        <v>1.53195552061103</v>
      </c>
      <c r="F40" s="7" t="n">
        <v>1.53195552061103</v>
      </c>
      <c r="G40" s="7" t="n"/>
      <c r="H40" s="7" t="n">
        <v>0.25598438535759</v>
      </c>
      <c r="I40" s="7" t="n">
        <v>0.1697969605460214</v>
      </c>
      <c r="J40" s="7" t="n">
        <v>0.154464658368319</v>
      </c>
      <c r="K40" s="7" t="n">
        <v>0.2814736936292054</v>
      </c>
      <c r="L40" s="7" t="n">
        <v>0.1528212975782749</v>
      </c>
      <c r="M40" s="7" t="n">
        <v>0.128579098067287</v>
      </c>
      <c r="N40" s="7" t="n">
        <v>0.06980980835094368</v>
      </c>
      <c r="O40" s="7" t="n"/>
      <c r="P40" s="7" t="n">
        <v>0.9893609269110253</v>
      </c>
      <c r="Q40" s="7" t="n">
        <v>0.5512748511737616</v>
      </c>
      <c r="R40" s="7" t="n">
        <v>0.09270580147798974</v>
      </c>
      <c r="S40" s="7" t="n">
        <v>82.22</v>
      </c>
      <c r="T40" s="7" t="inlineStr">
        <is>
          <t>Excellent</t>
        </is>
      </c>
      <c r="U40" s="7" t="inlineStr">
        <is>
          <t>✅ Conservative debt levels; ✅ Outstanding return on equity (&gt;25%)</t>
        </is>
      </c>
      <c r="V40" s="28" t="n">
        <v>46001.19131127964</v>
      </c>
    </row>
    <row r="41">
      <c r="A41" s="7" t="n">
        <v>28</v>
      </c>
      <c r="B41" s="7" t="inlineStr">
        <is>
          <t>TSLA</t>
        </is>
      </c>
      <c r="C41" s="7" t="inlineStr">
        <is>
          <t>Tesla Inc.</t>
        </is>
      </c>
      <c r="D41" s="7" t="n">
        <v>2021</v>
      </c>
      <c r="E41" s="7" t="n">
        <v>1.375285460543009</v>
      </c>
      <c r="F41" s="7" t="n">
        <v>1.375285460543009</v>
      </c>
      <c r="G41" s="7" t="n"/>
      <c r="H41" s="7" t="n">
        <v>0.2527915575125875</v>
      </c>
      <c r="I41" s="7" t="n">
        <v>0.1206918975159318</v>
      </c>
      <c r="J41" s="7" t="n">
        <v>0.1026327034910726</v>
      </c>
      <c r="K41" s="7" t="n">
        <v>0.1829805558315943</v>
      </c>
      <c r="L41" s="7" t="n">
        <v>0.08890891825336789</v>
      </c>
      <c r="M41" s="7" t="n">
        <v>0.2939150021531021</v>
      </c>
      <c r="N41" s="7" t="n">
        <v>0.1428111570713493</v>
      </c>
      <c r="O41" s="7" t="n"/>
      <c r="P41" s="7" t="n">
        <v>0.8662825320693374</v>
      </c>
      <c r="Q41" s="7" t="n">
        <v>0.5834559756407003</v>
      </c>
      <c r="R41" s="7" t="n">
        <v>0.06471211192241236</v>
      </c>
      <c r="S41" s="7" t="n">
        <v>75.56</v>
      </c>
      <c r="T41" s="7" t="inlineStr">
        <is>
          <t>Good</t>
        </is>
      </c>
      <c r="U41" s="7" t="inlineStr">
        <is>
          <t>✅ Conservative debt levels</t>
        </is>
      </c>
      <c r="V41" s="28" t="n">
        <v>46001.19131127964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2025-12-21T16:39:05Z</dcterms:created>
  <dcterms:modified xmlns:dcterms="http://purl.org/dc/terms/" xmlns:xsi="http://www.w3.org/2001/XMLSchema-instance" xsi:type="dcterms:W3CDTF">2025-12-21T16:39:05Z</dcterms:modified>
</cp:coreProperties>
</file>